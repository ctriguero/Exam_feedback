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Triguero\Desktop\Exam Feedback\"/>
    </mc:Choice>
  </mc:AlternateContent>
  <xr:revisionPtr revIDLastSave="0" documentId="13_ncr:1_{E646ED86-E771-412B-84E4-F28A3BF69F9B}" xr6:coauthVersionLast="47" xr6:coauthVersionMax="47" xr10:uidLastSave="{00000000-0000-0000-0000-000000000000}"/>
  <bookViews>
    <workbookView xWindow="25080" yWindow="-120" windowWidth="25440" windowHeight="15390" xr2:uid="{8BDCD281-7804-41D3-B46A-15692740D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6" i="1" l="1"/>
  <c r="BZ6" i="1" s="1"/>
  <c r="BY7" i="1"/>
  <c r="BZ7" i="1" s="1"/>
  <c r="BY8" i="1"/>
  <c r="BZ8" i="1" s="1"/>
  <c r="BY9" i="1"/>
  <c r="BZ9" i="1" s="1"/>
  <c r="BY10" i="1"/>
  <c r="BZ10" i="1" s="1"/>
  <c r="BY11" i="1"/>
  <c r="BZ11" i="1" s="1"/>
  <c r="BY12" i="1"/>
  <c r="BZ12" i="1" s="1"/>
  <c r="BY13" i="1"/>
  <c r="BZ13" i="1" s="1"/>
  <c r="BY14" i="1"/>
  <c r="BZ14" i="1" s="1"/>
  <c r="BY15" i="1"/>
  <c r="BZ15" i="1" s="1"/>
  <c r="BY16" i="1"/>
  <c r="BZ16" i="1" s="1"/>
  <c r="BY17" i="1"/>
  <c r="BZ17" i="1" s="1"/>
  <c r="BY18" i="1"/>
  <c r="BZ18" i="1" s="1"/>
  <c r="BY19" i="1"/>
  <c r="BZ19" i="1" s="1"/>
  <c r="BY20" i="1"/>
  <c r="BZ20" i="1" s="1"/>
  <c r="BY21" i="1"/>
  <c r="BZ21" i="1" s="1"/>
  <c r="BY22" i="1"/>
  <c r="BZ22" i="1" s="1"/>
  <c r="BY23" i="1"/>
  <c r="BZ23" i="1" s="1"/>
  <c r="BY24" i="1"/>
  <c r="BZ24" i="1" s="1"/>
  <c r="BY25" i="1"/>
  <c r="BZ25" i="1" s="1"/>
  <c r="BY26" i="1"/>
  <c r="BZ26" i="1" s="1"/>
  <c r="BY27" i="1"/>
  <c r="BZ27" i="1" s="1"/>
  <c r="BY28" i="1"/>
  <c r="BZ28" i="1" s="1"/>
  <c r="BY29" i="1"/>
  <c r="BZ29" i="1" s="1"/>
  <c r="BY30" i="1"/>
  <c r="BZ30" i="1" s="1"/>
  <c r="BY31" i="1"/>
  <c r="BZ31" i="1" s="1"/>
  <c r="BY32" i="1"/>
  <c r="BZ32" i="1" s="1"/>
  <c r="BY33" i="1"/>
  <c r="BZ33" i="1" s="1"/>
  <c r="BY5" i="1"/>
  <c r="BZ5" i="1" s="1"/>
  <c r="BW6" i="1"/>
  <c r="BX6" i="1" s="1"/>
  <c r="BW7" i="1"/>
  <c r="BX7" i="1" s="1"/>
  <c r="BW8" i="1"/>
  <c r="BX8" i="1" s="1"/>
  <c r="BW9" i="1"/>
  <c r="BX9" i="1" s="1"/>
  <c r="BW10" i="1"/>
  <c r="BX10" i="1" s="1"/>
  <c r="BW11" i="1"/>
  <c r="BX11" i="1" s="1"/>
  <c r="BW12" i="1"/>
  <c r="BX12" i="1" s="1"/>
  <c r="BW13" i="1"/>
  <c r="BX13" i="1" s="1"/>
  <c r="BW14" i="1"/>
  <c r="BX14" i="1" s="1"/>
  <c r="BW15" i="1"/>
  <c r="BX15" i="1" s="1"/>
  <c r="BW16" i="1"/>
  <c r="BX16" i="1" s="1"/>
  <c r="BW17" i="1"/>
  <c r="BX17" i="1" s="1"/>
  <c r="BW18" i="1"/>
  <c r="BX18" i="1" s="1"/>
  <c r="BW19" i="1"/>
  <c r="BX19" i="1" s="1"/>
  <c r="BW20" i="1"/>
  <c r="BX20" i="1" s="1"/>
  <c r="BW21" i="1"/>
  <c r="BX21" i="1" s="1"/>
  <c r="BW22" i="1"/>
  <c r="BX22" i="1" s="1"/>
  <c r="BW23" i="1"/>
  <c r="BX23" i="1" s="1"/>
  <c r="BW24" i="1"/>
  <c r="BX24" i="1" s="1"/>
  <c r="BW25" i="1"/>
  <c r="BX25" i="1" s="1"/>
  <c r="BW26" i="1"/>
  <c r="BX26" i="1" s="1"/>
  <c r="BW27" i="1"/>
  <c r="BX27" i="1" s="1"/>
  <c r="BW28" i="1"/>
  <c r="BX28" i="1" s="1"/>
  <c r="BW29" i="1"/>
  <c r="BX29" i="1" s="1"/>
  <c r="BW30" i="1"/>
  <c r="BX30" i="1" s="1"/>
  <c r="BW31" i="1"/>
  <c r="BX31" i="1" s="1"/>
  <c r="BW32" i="1"/>
  <c r="BX32" i="1" s="1"/>
  <c r="BW33" i="1"/>
  <c r="BX33" i="1" s="1"/>
  <c r="BW5" i="1"/>
  <c r="BX5" i="1" s="1"/>
  <c r="BS6" i="1"/>
  <c r="BT6" i="1" s="1"/>
  <c r="BS7" i="1"/>
  <c r="BT7" i="1" s="1"/>
  <c r="BS8" i="1"/>
  <c r="BT8" i="1" s="1"/>
  <c r="BS9" i="1"/>
  <c r="BT9" i="1" s="1"/>
  <c r="BS10" i="1"/>
  <c r="BT10" i="1" s="1"/>
  <c r="BS11" i="1"/>
  <c r="BT11" i="1" s="1"/>
  <c r="BS12" i="1"/>
  <c r="BT12" i="1" s="1"/>
  <c r="BS13" i="1"/>
  <c r="BT13" i="1" s="1"/>
  <c r="BS14" i="1"/>
  <c r="BT14" i="1" s="1"/>
  <c r="BS15" i="1"/>
  <c r="BT15" i="1" s="1"/>
  <c r="BS16" i="1"/>
  <c r="BT16" i="1" s="1"/>
  <c r="BS17" i="1"/>
  <c r="BT17" i="1" s="1"/>
  <c r="BS18" i="1"/>
  <c r="BT18" i="1" s="1"/>
  <c r="BS19" i="1"/>
  <c r="BT19" i="1" s="1"/>
  <c r="BS20" i="1"/>
  <c r="BT20" i="1" s="1"/>
  <c r="BS21" i="1"/>
  <c r="BT21" i="1" s="1"/>
  <c r="BS22" i="1"/>
  <c r="BT22" i="1" s="1"/>
  <c r="BS23" i="1"/>
  <c r="BT23" i="1" s="1"/>
  <c r="BS24" i="1"/>
  <c r="BT24" i="1" s="1"/>
  <c r="BS25" i="1"/>
  <c r="BT25" i="1" s="1"/>
  <c r="BS26" i="1"/>
  <c r="BT26" i="1" s="1"/>
  <c r="BS27" i="1"/>
  <c r="BT27" i="1" s="1"/>
  <c r="BS28" i="1"/>
  <c r="BT28" i="1" s="1"/>
  <c r="BS29" i="1"/>
  <c r="BT29" i="1" s="1"/>
  <c r="BS30" i="1"/>
  <c r="BT30" i="1" s="1"/>
  <c r="BS31" i="1"/>
  <c r="BT31" i="1" s="1"/>
  <c r="BS32" i="1"/>
  <c r="BT32" i="1" s="1"/>
  <c r="BS33" i="1"/>
  <c r="BT33" i="1" s="1"/>
  <c r="BS5" i="1"/>
  <c r="BT5" i="1" s="1"/>
  <c r="BQ6" i="1"/>
  <c r="BR6" i="1" s="1"/>
  <c r="BQ7" i="1"/>
  <c r="BR7" i="1" s="1"/>
  <c r="BQ8" i="1"/>
  <c r="BR8" i="1" s="1"/>
  <c r="BQ9" i="1"/>
  <c r="BR9" i="1" s="1"/>
  <c r="BQ10" i="1"/>
  <c r="BR10" i="1" s="1"/>
  <c r="BQ11" i="1"/>
  <c r="BR11" i="1" s="1"/>
  <c r="BQ12" i="1"/>
  <c r="BR12" i="1" s="1"/>
  <c r="BQ13" i="1"/>
  <c r="BR13" i="1" s="1"/>
  <c r="BQ14" i="1"/>
  <c r="BR14" i="1" s="1"/>
  <c r="BQ15" i="1"/>
  <c r="BR15" i="1" s="1"/>
  <c r="BQ16" i="1"/>
  <c r="BR16" i="1" s="1"/>
  <c r="BQ17" i="1"/>
  <c r="BR17" i="1" s="1"/>
  <c r="BQ18" i="1"/>
  <c r="BR18" i="1" s="1"/>
  <c r="BQ19" i="1"/>
  <c r="BR19" i="1" s="1"/>
  <c r="BQ20" i="1"/>
  <c r="BR20" i="1" s="1"/>
  <c r="BQ21" i="1"/>
  <c r="BR21" i="1" s="1"/>
  <c r="BQ22" i="1"/>
  <c r="BR22" i="1" s="1"/>
  <c r="BQ23" i="1"/>
  <c r="BR23" i="1" s="1"/>
  <c r="BQ24" i="1"/>
  <c r="BR24" i="1" s="1"/>
  <c r="BQ25" i="1"/>
  <c r="BR25" i="1" s="1"/>
  <c r="BQ26" i="1"/>
  <c r="BR26" i="1" s="1"/>
  <c r="BQ27" i="1"/>
  <c r="BR27" i="1" s="1"/>
  <c r="BQ28" i="1"/>
  <c r="BR28" i="1" s="1"/>
  <c r="BQ29" i="1"/>
  <c r="BR29" i="1" s="1"/>
  <c r="BQ30" i="1"/>
  <c r="BR30" i="1" s="1"/>
  <c r="BQ31" i="1"/>
  <c r="BR31" i="1" s="1"/>
  <c r="BQ32" i="1"/>
  <c r="BR32" i="1" s="1"/>
  <c r="BQ33" i="1"/>
  <c r="BR33" i="1" s="1"/>
  <c r="BQ5" i="1"/>
  <c r="BR5" i="1" s="1"/>
  <c r="BO6" i="1"/>
  <c r="BP6" i="1" s="1"/>
  <c r="BO7" i="1"/>
  <c r="BP7" i="1" s="1"/>
  <c r="BO8" i="1"/>
  <c r="BP8" i="1" s="1"/>
  <c r="BO9" i="1"/>
  <c r="BP9" i="1" s="1"/>
  <c r="BO10" i="1"/>
  <c r="BP10" i="1" s="1"/>
  <c r="BO11" i="1"/>
  <c r="BP11" i="1" s="1"/>
  <c r="BO12" i="1"/>
  <c r="BP12" i="1" s="1"/>
  <c r="BO13" i="1"/>
  <c r="BP13" i="1" s="1"/>
  <c r="BO14" i="1"/>
  <c r="BP14" i="1" s="1"/>
  <c r="BO15" i="1"/>
  <c r="BP15" i="1" s="1"/>
  <c r="BO16" i="1"/>
  <c r="BP16" i="1" s="1"/>
  <c r="BO17" i="1"/>
  <c r="BP17" i="1" s="1"/>
  <c r="BO18" i="1"/>
  <c r="BP18" i="1" s="1"/>
  <c r="BO19" i="1"/>
  <c r="BP19" i="1" s="1"/>
  <c r="BO20" i="1"/>
  <c r="BP20" i="1" s="1"/>
  <c r="BO21" i="1"/>
  <c r="BP21" i="1" s="1"/>
  <c r="BO22" i="1"/>
  <c r="BP22" i="1" s="1"/>
  <c r="BO23" i="1"/>
  <c r="BP23" i="1" s="1"/>
  <c r="BO24" i="1"/>
  <c r="BP24" i="1" s="1"/>
  <c r="BO25" i="1"/>
  <c r="BP25" i="1" s="1"/>
  <c r="BO26" i="1"/>
  <c r="BP26" i="1" s="1"/>
  <c r="BO27" i="1"/>
  <c r="BP27" i="1" s="1"/>
  <c r="BO28" i="1"/>
  <c r="BP28" i="1" s="1"/>
  <c r="BO29" i="1"/>
  <c r="BP29" i="1" s="1"/>
  <c r="BO30" i="1"/>
  <c r="BP30" i="1" s="1"/>
  <c r="BO31" i="1"/>
  <c r="BP31" i="1" s="1"/>
  <c r="BO32" i="1"/>
  <c r="BP32" i="1" s="1"/>
  <c r="BO33" i="1"/>
  <c r="BP33" i="1" s="1"/>
  <c r="BO5" i="1"/>
  <c r="BP5" i="1" s="1"/>
  <c r="BM6" i="1"/>
  <c r="BN6" i="1" s="1"/>
  <c r="BM7" i="1"/>
  <c r="BN7" i="1" s="1"/>
  <c r="BM8" i="1"/>
  <c r="BN8" i="1" s="1"/>
  <c r="BM9" i="1"/>
  <c r="BN9" i="1" s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17" i="1"/>
  <c r="BN17" i="1" s="1"/>
  <c r="BM18" i="1"/>
  <c r="BN18" i="1" s="1"/>
  <c r="BM19" i="1"/>
  <c r="BN19" i="1" s="1"/>
  <c r="BM20" i="1"/>
  <c r="BN20" i="1" s="1"/>
  <c r="BM21" i="1"/>
  <c r="BN21" i="1" s="1"/>
  <c r="BM22" i="1"/>
  <c r="BN22" i="1" s="1"/>
  <c r="BM23" i="1"/>
  <c r="BN23" i="1" s="1"/>
  <c r="BM24" i="1"/>
  <c r="BN24" i="1" s="1"/>
  <c r="BM25" i="1"/>
  <c r="BN25" i="1" s="1"/>
  <c r="BM26" i="1"/>
  <c r="BN26" i="1" s="1"/>
  <c r="BM27" i="1"/>
  <c r="BN27" i="1" s="1"/>
  <c r="BM28" i="1"/>
  <c r="BN28" i="1" s="1"/>
  <c r="BM29" i="1"/>
  <c r="BN29" i="1" s="1"/>
  <c r="BM30" i="1"/>
  <c r="BN30" i="1" s="1"/>
  <c r="BM31" i="1"/>
  <c r="BN31" i="1" s="1"/>
  <c r="BM32" i="1"/>
  <c r="BN32" i="1" s="1"/>
  <c r="BM33" i="1"/>
  <c r="BN33" i="1" s="1"/>
  <c r="BM5" i="1"/>
  <c r="BN5" i="1" s="1"/>
  <c r="BK6" i="1"/>
  <c r="BL6" i="1" s="1"/>
  <c r="BK7" i="1"/>
  <c r="BL7" i="1" s="1"/>
  <c r="BK8" i="1"/>
  <c r="BL8" i="1" s="1"/>
  <c r="BK9" i="1"/>
  <c r="BL9" i="1" s="1"/>
  <c r="BK10" i="1"/>
  <c r="BL10" i="1" s="1"/>
  <c r="BK11" i="1"/>
  <c r="BL11" i="1" s="1"/>
  <c r="BK12" i="1"/>
  <c r="BL12" i="1" s="1"/>
  <c r="BK13" i="1"/>
  <c r="BL13" i="1" s="1"/>
  <c r="BK14" i="1"/>
  <c r="BL14" i="1" s="1"/>
  <c r="BK15" i="1"/>
  <c r="BL15" i="1" s="1"/>
  <c r="BK16" i="1"/>
  <c r="BL16" i="1" s="1"/>
  <c r="BK17" i="1"/>
  <c r="BL17" i="1" s="1"/>
  <c r="BK18" i="1"/>
  <c r="BL18" i="1" s="1"/>
  <c r="BK19" i="1"/>
  <c r="BL19" i="1" s="1"/>
  <c r="BK20" i="1"/>
  <c r="BL20" i="1" s="1"/>
  <c r="BK21" i="1"/>
  <c r="BL21" i="1" s="1"/>
  <c r="BK22" i="1"/>
  <c r="BL22" i="1" s="1"/>
  <c r="BK23" i="1"/>
  <c r="BL23" i="1" s="1"/>
  <c r="BK24" i="1"/>
  <c r="BL24" i="1" s="1"/>
  <c r="BK25" i="1"/>
  <c r="BL25" i="1" s="1"/>
  <c r="BK26" i="1"/>
  <c r="BL26" i="1" s="1"/>
  <c r="BK27" i="1"/>
  <c r="BL27" i="1" s="1"/>
  <c r="BK28" i="1"/>
  <c r="BL28" i="1" s="1"/>
  <c r="BK29" i="1"/>
  <c r="BL29" i="1" s="1"/>
  <c r="BK30" i="1"/>
  <c r="BL30" i="1" s="1"/>
  <c r="BK31" i="1"/>
  <c r="BL31" i="1" s="1"/>
  <c r="BK32" i="1"/>
  <c r="BL32" i="1" s="1"/>
  <c r="BK33" i="1"/>
  <c r="BL33" i="1" s="1"/>
  <c r="BK5" i="1"/>
  <c r="BL5" i="1" s="1"/>
  <c r="BI6" i="1"/>
  <c r="BJ6" i="1" s="1"/>
  <c r="BI7" i="1"/>
  <c r="BJ7" i="1" s="1"/>
  <c r="BI8" i="1"/>
  <c r="BJ8" i="1" s="1"/>
  <c r="BI9" i="1"/>
  <c r="BJ9" i="1" s="1"/>
  <c r="BI10" i="1"/>
  <c r="BJ10" i="1" s="1"/>
  <c r="BI11" i="1"/>
  <c r="BJ11" i="1" s="1"/>
  <c r="BI12" i="1"/>
  <c r="BJ12" i="1" s="1"/>
  <c r="BI13" i="1"/>
  <c r="BJ13" i="1" s="1"/>
  <c r="BI14" i="1"/>
  <c r="BJ14" i="1" s="1"/>
  <c r="BI15" i="1"/>
  <c r="BJ15" i="1" s="1"/>
  <c r="BI16" i="1"/>
  <c r="BJ16" i="1" s="1"/>
  <c r="BI17" i="1"/>
  <c r="BJ17" i="1" s="1"/>
  <c r="BI18" i="1"/>
  <c r="BJ18" i="1" s="1"/>
  <c r="BI19" i="1"/>
  <c r="BJ19" i="1" s="1"/>
  <c r="BI20" i="1"/>
  <c r="BJ20" i="1" s="1"/>
  <c r="BI21" i="1"/>
  <c r="BJ21" i="1" s="1"/>
  <c r="BI22" i="1"/>
  <c r="BJ22" i="1" s="1"/>
  <c r="BI23" i="1"/>
  <c r="BJ23" i="1" s="1"/>
  <c r="BI24" i="1"/>
  <c r="BJ24" i="1" s="1"/>
  <c r="BI25" i="1"/>
  <c r="BJ25" i="1" s="1"/>
  <c r="BI26" i="1"/>
  <c r="BJ26" i="1" s="1"/>
  <c r="BI27" i="1"/>
  <c r="BJ27" i="1" s="1"/>
  <c r="BI28" i="1"/>
  <c r="BJ28" i="1" s="1"/>
  <c r="BI29" i="1"/>
  <c r="BJ29" i="1" s="1"/>
  <c r="BI30" i="1"/>
  <c r="BJ30" i="1" s="1"/>
  <c r="BI31" i="1"/>
  <c r="BJ31" i="1" s="1"/>
  <c r="BI32" i="1"/>
  <c r="BJ32" i="1" s="1"/>
  <c r="BI33" i="1"/>
  <c r="BJ33" i="1" s="1"/>
  <c r="BI5" i="1"/>
  <c r="BJ5" i="1" s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5" i="1"/>
  <c r="BG6" i="1"/>
  <c r="BH6" i="1" s="1"/>
  <c r="BG7" i="1"/>
  <c r="BH7" i="1" s="1"/>
  <c r="BG8" i="1"/>
  <c r="BH8" i="1" s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17" i="1"/>
  <c r="BH17" i="1" s="1"/>
  <c r="BG18" i="1"/>
  <c r="BH18" i="1" s="1"/>
  <c r="BG19" i="1"/>
  <c r="BH19" i="1" s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5" i="1"/>
  <c r="BE6" i="1"/>
  <c r="BF6" i="1" s="1"/>
  <c r="BE7" i="1"/>
  <c r="BF7" i="1" s="1"/>
  <c r="BE8" i="1"/>
  <c r="BF8" i="1" s="1"/>
  <c r="BE9" i="1"/>
  <c r="BF9" i="1" s="1"/>
  <c r="BE10" i="1"/>
  <c r="BF10" i="1" s="1"/>
  <c r="BE11" i="1"/>
  <c r="BF11" i="1" s="1"/>
  <c r="BE12" i="1"/>
  <c r="BF12" i="1" s="1"/>
  <c r="BE13" i="1"/>
  <c r="BF13" i="1" s="1"/>
  <c r="BE14" i="1"/>
  <c r="BF14" i="1" s="1"/>
  <c r="BE15" i="1"/>
  <c r="BF15" i="1" s="1"/>
  <c r="BE16" i="1"/>
  <c r="BF16" i="1" s="1"/>
  <c r="BE17" i="1"/>
  <c r="BF17" i="1" s="1"/>
  <c r="BE18" i="1"/>
  <c r="BF18" i="1" s="1"/>
  <c r="BE19" i="1"/>
  <c r="BF19" i="1" s="1"/>
  <c r="BE20" i="1"/>
  <c r="BF20" i="1" s="1"/>
  <c r="BE21" i="1"/>
  <c r="BF21" i="1" s="1"/>
  <c r="BE22" i="1"/>
  <c r="BF22" i="1" s="1"/>
  <c r="BE23" i="1"/>
  <c r="BF23" i="1" s="1"/>
  <c r="BE24" i="1"/>
  <c r="BF24" i="1" s="1"/>
  <c r="BE25" i="1"/>
  <c r="BF25" i="1" s="1"/>
  <c r="BE26" i="1"/>
  <c r="BF26" i="1" s="1"/>
  <c r="BE27" i="1"/>
  <c r="BF27" i="1" s="1"/>
  <c r="BE28" i="1"/>
  <c r="BF28" i="1" s="1"/>
  <c r="BE29" i="1"/>
  <c r="BF29" i="1" s="1"/>
  <c r="BE30" i="1"/>
  <c r="BF30" i="1" s="1"/>
  <c r="BE31" i="1"/>
  <c r="BF31" i="1" s="1"/>
  <c r="BE32" i="1"/>
  <c r="BF32" i="1" s="1"/>
  <c r="BE33" i="1"/>
  <c r="BF33" i="1" s="1"/>
  <c r="BE5" i="1"/>
  <c r="BF5" i="1" s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C6" i="1"/>
  <c r="BD6" i="1" s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D29" i="1" s="1"/>
  <c r="BC30" i="1"/>
  <c r="BD30" i="1" s="1"/>
  <c r="BC31" i="1"/>
  <c r="BD31" i="1" s="1"/>
  <c r="BC32" i="1"/>
  <c r="BD32" i="1" s="1"/>
  <c r="BC33" i="1"/>
  <c r="BD33" i="1" s="1"/>
  <c r="BC5" i="1"/>
  <c r="BD5" i="1" s="1"/>
  <c r="AY6" i="1"/>
  <c r="AZ6" i="1" s="1"/>
  <c r="AY7" i="1"/>
  <c r="AZ7" i="1" s="1"/>
  <c r="AY8" i="1"/>
  <c r="AZ8" i="1" s="1"/>
  <c r="AY9" i="1"/>
  <c r="AZ9" i="1" s="1"/>
  <c r="AY10" i="1"/>
  <c r="AZ10" i="1" s="1"/>
  <c r="AY11" i="1"/>
  <c r="AZ11" i="1" s="1"/>
  <c r="AY12" i="1"/>
  <c r="AZ12" i="1" s="1"/>
  <c r="AY13" i="1"/>
  <c r="AZ13" i="1" s="1"/>
  <c r="AY14" i="1"/>
  <c r="AZ14" i="1" s="1"/>
  <c r="AY15" i="1"/>
  <c r="AZ15" i="1" s="1"/>
  <c r="AY16" i="1"/>
  <c r="AZ16" i="1" s="1"/>
  <c r="AY17" i="1"/>
  <c r="AZ17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 s="1"/>
  <c r="AY24" i="1"/>
  <c r="AZ24" i="1" s="1"/>
  <c r="AY25" i="1"/>
  <c r="AZ25" i="1" s="1"/>
  <c r="AY26" i="1"/>
  <c r="AZ26" i="1" s="1"/>
  <c r="AY27" i="1"/>
  <c r="AZ27" i="1" s="1"/>
  <c r="AY28" i="1"/>
  <c r="AZ28" i="1" s="1"/>
  <c r="AY29" i="1"/>
  <c r="AZ29" i="1" s="1"/>
  <c r="AY30" i="1"/>
  <c r="AZ30" i="1" s="1"/>
  <c r="AY31" i="1"/>
  <c r="AZ31" i="1" s="1"/>
  <c r="AY32" i="1"/>
  <c r="AZ32" i="1" s="1"/>
  <c r="AY33" i="1"/>
  <c r="AZ33" i="1" s="1"/>
  <c r="AY5" i="1"/>
  <c r="AZ5" i="1" s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B20" i="1" s="1"/>
  <c r="BA21" i="1"/>
  <c r="BB21" i="1" s="1"/>
  <c r="BA22" i="1"/>
  <c r="BB22" i="1" s="1"/>
  <c r="BA23" i="1"/>
  <c r="BB23" i="1" s="1"/>
  <c r="BA24" i="1"/>
  <c r="BB24" i="1" s="1"/>
  <c r="BA25" i="1"/>
  <c r="BB25" i="1" s="1"/>
  <c r="BA26" i="1"/>
  <c r="BB26" i="1" s="1"/>
  <c r="BA27" i="1"/>
  <c r="BB27" i="1" s="1"/>
  <c r="BA28" i="1"/>
  <c r="BB28" i="1" s="1"/>
  <c r="BA29" i="1"/>
  <c r="BB29" i="1" s="1"/>
  <c r="BA30" i="1"/>
  <c r="BB30" i="1" s="1"/>
  <c r="BA31" i="1"/>
  <c r="BB31" i="1" s="1"/>
  <c r="BA32" i="1"/>
  <c r="BB32" i="1" s="1"/>
  <c r="BA33" i="1"/>
  <c r="BB33" i="1" s="1"/>
  <c r="BA5" i="1"/>
  <c r="BB5" i="1" s="1"/>
  <c r="AV6" i="1"/>
  <c r="AW6" i="1" s="1"/>
  <c r="AV7" i="1"/>
  <c r="AW7" i="1" s="1"/>
  <c r="AV8" i="1"/>
  <c r="AW8" i="1" s="1"/>
  <c r="AV9" i="1"/>
  <c r="AW9" i="1" s="1"/>
  <c r="AV10" i="1"/>
  <c r="AW10" i="1" s="1"/>
  <c r="AV11" i="1"/>
  <c r="AW11" i="1" s="1"/>
  <c r="AV12" i="1"/>
  <c r="AW12" i="1" s="1"/>
  <c r="AV13" i="1"/>
  <c r="AW13" i="1" s="1"/>
  <c r="AV14" i="1"/>
  <c r="AW14" i="1" s="1"/>
  <c r="AV15" i="1"/>
  <c r="AW15" i="1" s="1"/>
  <c r="AV16" i="1"/>
  <c r="AW16" i="1" s="1"/>
  <c r="AV17" i="1"/>
  <c r="AW17" i="1" s="1"/>
  <c r="AV18" i="1"/>
  <c r="AW18" i="1" s="1"/>
  <c r="AV19" i="1"/>
  <c r="AW19" i="1" s="1"/>
  <c r="AV20" i="1"/>
  <c r="AW20" i="1" s="1"/>
  <c r="AV21" i="1"/>
  <c r="AW21" i="1" s="1"/>
  <c r="AV22" i="1"/>
  <c r="AW22" i="1" s="1"/>
  <c r="AV23" i="1"/>
  <c r="AW23" i="1" s="1"/>
  <c r="AV24" i="1"/>
  <c r="AW24" i="1" s="1"/>
  <c r="AV25" i="1"/>
  <c r="AW25" i="1" s="1"/>
  <c r="AV26" i="1"/>
  <c r="AW26" i="1" s="1"/>
  <c r="AV27" i="1"/>
  <c r="AW27" i="1" s="1"/>
  <c r="AV28" i="1"/>
  <c r="AW28" i="1" s="1"/>
  <c r="AV29" i="1"/>
  <c r="AW29" i="1" s="1"/>
  <c r="AV30" i="1"/>
  <c r="AW30" i="1" s="1"/>
  <c r="AV31" i="1"/>
  <c r="AW31" i="1" s="1"/>
  <c r="AV32" i="1"/>
  <c r="AW32" i="1" s="1"/>
  <c r="AV33" i="1"/>
  <c r="AW33" i="1" s="1"/>
  <c r="AV5" i="1"/>
  <c r="AW5" i="1" s="1"/>
</calcChain>
</file>

<file path=xl/sharedStrings.xml><?xml version="1.0" encoding="utf-8"?>
<sst xmlns="http://schemas.openxmlformats.org/spreadsheetml/2006/main" count="247" uniqueCount="149">
  <si>
    <t>AS B</t>
  </si>
  <si>
    <t>Pupil name</t>
  </si>
  <si>
    <t>Bhatta, Omkar</t>
  </si>
  <si>
    <t>L6T</t>
  </si>
  <si>
    <t>Cairns, Sophie</t>
  </si>
  <si>
    <t>L6P</t>
  </si>
  <si>
    <t>Dong, Ethan</t>
  </si>
  <si>
    <t>L6Q</t>
  </si>
  <si>
    <t>Elliott, Remi</t>
  </si>
  <si>
    <t>L6W</t>
  </si>
  <si>
    <t>Gavrylov, Davyd</t>
  </si>
  <si>
    <t>L6X</t>
  </si>
  <si>
    <t>Graham, Christopher</t>
  </si>
  <si>
    <t>L6Z</t>
  </si>
  <si>
    <t>Hanna, Joshua</t>
  </si>
  <si>
    <t>Johnson, Martin</t>
  </si>
  <si>
    <t>Kelly, Ethan</t>
  </si>
  <si>
    <t>Lua, Jessica</t>
  </si>
  <si>
    <t>L6R</t>
  </si>
  <si>
    <t>McGaffin, Shay</t>
  </si>
  <si>
    <t>L6V</t>
  </si>
  <si>
    <t>Melo, Michael</t>
  </si>
  <si>
    <t>Morhunov, Oleksandr</t>
  </si>
  <si>
    <t>Ng, Leon</t>
  </si>
  <si>
    <t>Xu, Joshua</t>
  </si>
  <si>
    <t>Reg. Group</t>
  </si>
  <si>
    <t>AS C</t>
  </si>
  <si>
    <t>Acharya, Erick</t>
  </si>
  <si>
    <t>Ajay, Riya</t>
  </si>
  <si>
    <t>Andrews, Orla</t>
  </si>
  <si>
    <t>Boyd, Elijah</t>
  </si>
  <si>
    <t>Cheung, Harry</t>
  </si>
  <si>
    <t>Gray, Ellie</t>
  </si>
  <si>
    <t>Houston, Connor</t>
  </si>
  <si>
    <t>Ilagan, Nicko</t>
  </si>
  <si>
    <t>Kearney, Noah</t>
  </si>
  <si>
    <t>Monaghan, Daniel</t>
  </si>
  <si>
    <t>Rossetto, Jake</t>
  </si>
  <si>
    <t>Wu, Steven</t>
  </si>
  <si>
    <t>Yakovchuk, Anton</t>
  </si>
  <si>
    <t>L6S</t>
  </si>
  <si>
    <t>L6Y</t>
  </si>
  <si>
    <t>Syrdal, Michael</t>
  </si>
  <si>
    <t>Q1</t>
  </si>
  <si>
    <t>i</t>
  </si>
  <si>
    <t>ii</t>
  </si>
  <si>
    <t>iii</t>
  </si>
  <si>
    <t>Q2</t>
  </si>
  <si>
    <t>a</t>
  </si>
  <si>
    <t>b</t>
  </si>
  <si>
    <t>Q3</t>
  </si>
  <si>
    <t>c</t>
  </si>
  <si>
    <t>Q4</t>
  </si>
  <si>
    <t>d</t>
  </si>
  <si>
    <t>Q5</t>
  </si>
  <si>
    <t>Q6</t>
  </si>
  <si>
    <t>Q7</t>
  </si>
  <si>
    <t>Q8</t>
  </si>
  <si>
    <t>e</t>
  </si>
  <si>
    <t>Q9</t>
  </si>
  <si>
    <t>Q10</t>
  </si>
  <si>
    <t>Q11</t>
  </si>
  <si>
    <t>x</t>
  </si>
  <si>
    <t>marks</t>
  </si>
  <si>
    <t>%</t>
  </si>
  <si>
    <t>Scalars vectors</t>
  </si>
  <si>
    <t>Physical quantiies</t>
  </si>
  <si>
    <t>Moments</t>
  </si>
  <si>
    <t>Experimental</t>
  </si>
  <si>
    <t>Motion</t>
  </si>
  <si>
    <t>Projectile</t>
  </si>
  <si>
    <t>Current voltage</t>
  </si>
  <si>
    <t>IV curves</t>
  </si>
  <si>
    <t>Resistivity</t>
  </si>
  <si>
    <t>Internal r</t>
  </si>
  <si>
    <t>Potential dividers</t>
  </si>
  <si>
    <t>Definitions</t>
  </si>
  <si>
    <t>mark</t>
  </si>
  <si>
    <t>Concept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</si>
  <si>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</si>
  <si>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</si>
  <si>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</si>
  <si>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</si>
  <si>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</si>
  <si>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</si>
  <si>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</si>
  <si>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</si>
  <si>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</si>
  <si>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</si>
  <si>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</si>
  <si>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</si>
  <si>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</si>
  <si>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Surname</t>
  </si>
  <si>
    <t>Name</t>
  </si>
  <si>
    <t>Bhatta</t>
  </si>
  <si>
    <t>Omkar</t>
  </si>
  <si>
    <t>Cairns</t>
  </si>
  <si>
    <t>Sophie</t>
  </si>
  <si>
    <t>Dong</t>
  </si>
  <si>
    <t>Ethan</t>
  </si>
  <si>
    <t>Elliott</t>
  </si>
  <si>
    <t>Remi</t>
  </si>
  <si>
    <t>Gavrylov</t>
  </si>
  <si>
    <t>Davyd</t>
  </si>
  <si>
    <t>Graham</t>
  </si>
  <si>
    <t>Christopher</t>
  </si>
  <si>
    <t>Hanna</t>
  </si>
  <si>
    <t>Joshua</t>
  </si>
  <si>
    <t>Johnson</t>
  </si>
  <si>
    <t>Martin</t>
  </si>
  <si>
    <t>Kelly</t>
  </si>
  <si>
    <t>Lua</t>
  </si>
  <si>
    <t>Jessica</t>
  </si>
  <si>
    <t>McGaffin</t>
  </si>
  <si>
    <t>Shay</t>
  </si>
  <si>
    <t>Melo</t>
  </si>
  <si>
    <t>Michael</t>
  </si>
  <si>
    <t>Morhunov</t>
  </si>
  <si>
    <t>Oleksandr</t>
  </si>
  <si>
    <t>Ng</t>
  </si>
  <si>
    <t>Leon</t>
  </si>
  <si>
    <t>Syrdal</t>
  </si>
  <si>
    <t>Xu</t>
  </si>
  <si>
    <t>Acharya</t>
  </si>
  <si>
    <t>Erick</t>
  </si>
  <si>
    <t>Ajay</t>
  </si>
  <si>
    <t>Riya</t>
  </si>
  <si>
    <t>Andrews</t>
  </si>
  <si>
    <t>Orla</t>
  </si>
  <si>
    <t>Boyd</t>
  </si>
  <si>
    <t>Elijah</t>
  </si>
  <si>
    <t>Cheung</t>
  </si>
  <si>
    <t>Harry</t>
  </si>
  <si>
    <t>Gray</t>
  </si>
  <si>
    <t>Ellie</t>
  </si>
  <si>
    <t>Houston</t>
  </si>
  <si>
    <t>Connor</t>
  </si>
  <si>
    <t>Ilagan</t>
  </si>
  <si>
    <t>Nicko</t>
  </si>
  <si>
    <t>Kearney</t>
  </si>
  <si>
    <t>Noah</t>
  </si>
  <si>
    <t>Monaghan</t>
  </si>
  <si>
    <t>Daniel</t>
  </si>
  <si>
    <t>Rossetto</t>
  </si>
  <si>
    <t>Jake</t>
  </si>
  <si>
    <t>Wu</t>
  </si>
  <si>
    <t>Steven</t>
  </si>
  <si>
    <t>Yakovchuk</t>
  </si>
  <si>
    <t>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</si>
</sst>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4" xfId="0" applyFont="1" applyFill="1" applyBorder="1" applyAlignment="1">
      <alignment horizontal="center"/>
    </xf>
    <xf numFmtId="49" fontId="2" fillId="0" borderId="6" xfId="0" applyNumberFormat="1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1" fontId="0" fillId="6" borderId="8" xfId="0" applyNumberFormat="1" applyFill="1" applyBorder="1" applyAlignment="1">
      <alignment horizontal="center"/>
    </xf>
    <xf numFmtId="1" fontId="0" fillId="6" borderId="21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6" borderId="17" xfId="0" applyNumberFormat="1" applyFill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6" borderId="15" xfId="0" applyNumberForma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6" borderId="22" xfId="0" applyNumberForma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1" fontId="0" fillId="6" borderId="11" xfId="0" applyNumberFormat="1" applyFill="1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6" borderId="12" xfId="0" applyNumberFormat="1" applyFill="1" applyBorder="1" applyAlignment="1">
      <alignment horizontal="center"/>
    </xf>
    <xf numFmtId="1" fontId="0" fillId="6" borderId="13" xfId="0" applyNumberFormat="1" applyFill="1" applyBorder="1" applyAlignment="1">
      <alignment horizontal="center"/>
    </xf>
    <xf numFmtId="1" fontId="0" fillId="6" borderId="23" xfId="0" applyNumberFormat="1" applyFill="1" applyBorder="1" applyAlignment="1">
      <alignment horizontal="center"/>
    </xf>
    <xf numFmtId="1" fontId="0" fillId="6" borderId="19" xfId="0" applyNumberFormat="1" applyFill="1" applyBorder="1" applyAlignment="1">
      <alignment horizontal="center"/>
    </xf>
    <xf numFmtId="1" fontId="0" fillId="6" borderId="14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1" fontId="0" fillId="6" borderId="28" xfId="0" applyNumberFormat="1" applyFill="1" applyBorder="1" applyAlignment="1">
      <alignment horizontal="center"/>
    </xf>
    <xf numFmtId="1" fontId="0" fillId="6" borderId="26" xfId="0" applyNumberFormat="1" applyFill="1" applyBorder="1" applyAlignment="1">
      <alignment horizontal="center"/>
    </xf>
    <xf numFmtId="1" fontId="0" fillId="6" borderId="27" xfId="0" applyNumberFormat="1" applyFill="1" applyBorder="1" applyAlignment="1">
      <alignment horizontal="center"/>
    </xf>
    <xf numFmtId="1" fontId="0" fillId="6" borderId="24" xfId="0" applyNumberForma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F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3F51-AA3D-41F3-94B3-AE7233573943}">
  <dimension ref="A1:BZ67"/>
  <sheetViews>
    <sheetView tabSelected="1" zoomScale="94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A37" sqref="A37:P66"/>
    </sheetView>
  </sheetViews>
  <sheetFormatPr defaultRowHeight="15" x14ac:dyDescent="0.25"/>
  <cols>
    <col min="2" max="2" width="23" customWidth="1"/>
    <col min="3" max="3" width="15.5703125" customWidth="1"/>
    <col min="4" max="47" width="3.7109375" customWidth="1"/>
    <col min="53" max="56" width="8.7109375" style="84"/>
  </cols>
  <sheetData>
    <row r="1" spans="1:78" ht="36.75" thickBot="1" x14ac:dyDescent="0.6">
      <c r="B1" s="1" t="s">
        <v>0</v>
      </c>
      <c r="C1" s="2"/>
    </row>
    <row r="2" spans="1:78" ht="15.75" thickBot="1" x14ac:dyDescent="0.3">
      <c r="B2" s="2"/>
      <c r="C2" s="2"/>
      <c r="D2" s="13" t="s">
        <v>43</v>
      </c>
      <c r="E2" s="14"/>
      <c r="F2" s="14"/>
      <c r="G2" s="19" t="s">
        <v>47</v>
      </c>
      <c r="H2" s="19"/>
      <c r="I2" s="28"/>
      <c r="J2" s="13" t="s">
        <v>50</v>
      </c>
      <c r="K2" s="14"/>
      <c r="L2" s="14"/>
      <c r="M2" s="14"/>
      <c r="N2" s="14"/>
      <c r="O2" s="34"/>
      <c r="P2" s="31" t="s">
        <v>52</v>
      </c>
      <c r="Q2" s="19"/>
      <c r="R2" s="19"/>
      <c r="S2" s="23"/>
      <c r="T2" s="72"/>
      <c r="U2" s="13" t="s">
        <v>54</v>
      </c>
      <c r="V2" s="14"/>
      <c r="W2" s="34"/>
      <c r="X2" s="22" t="s">
        <v>55</v>
      </c>
      <c r="Y2" s="19"/>
      <c r="Z2" s="23"/>
      <c r="AA2" s="13" t="s">
        <v>56</v>
      </c>
      <c r="AB2" s="14"/>
      <c r="AC2" s="14"/>
      <c r="AD2" s="14"/>
      <c r="AE2" s="14"/>
      <c r="AF2" s="34"/>
      <c r="AG2" s="22" t="s">
        <v>57</v>
      </c>
      <c r="AH2" s="19"/>
      <c r="AI2" s="19"/>
      <c r="AJ2" s="19"/>
      <c r="AK2" s="28"/>
      <c r="AL2" s="23"/>
      <c r="AM2" s="13" t="s">
        <v>59</v>
      </c>
      <c r="AN2" s="14"/>
      <c r="AO2" s="34"/>
      <c r="AP2" s="22" t="s">
        <v>60</v>
      </c>
      <c r="AQ2" s="19"/>
      <c r="AR2" s="19"/>
      <c r="AS2" s="23"/>
      <c r="AT2" s="37" t="s">
        <v>61</v>
      </c>
      <c r="AU2" s="14"/>
      <c r="AW2" s="34"/>
    </row>
    <row r="3" spans="1:78" ht="15.75" thickBot="1" x14ac:dyDescent="0.3">
      <c r="B3" s="2"/>
      <c r="C3" s="2"/>
      <c r="D3" s="15" t="s">
        <v>44</v>
      </c>
      <c r="E3" s="16" t="s">
        <v>45</v>
      </c>
      <c r="F3" s="16" t="s">
        <v>46</v>
      </c>
      <c r="G3" s="20" t="s">
        <v>48</v>
      </c>
      <c r="H3" s="20"/>
      <c r="I3" s="29" t="s">
        <v>49</v>
      </c>
      <c r="J3" s="15" t="s">
        <v>48</v>
      </c>
      <c r="K3" s="16"/>
      <c r="L3" s="16"/>
      <c r="M3" s="16" t="s">
        <v>49</v>
      </c>
      <c r="N3" s="16"/>
      <c r="O3" s="35" t="s">
        <v>51</v>
      </c>
      <c r="P3" s="32" t="s">
        <v>48</v>
      </c>
      <c r="Q3" s="20" t="s">
        <v>49</v>
      </c>
      <c r="R3" s="20" t="s">
        <v>51</v>
      </c>
      <c r="S3" s="25" t="s">
        <v>53</v>
      </c>
      <c r="T3" s="73"/>
      <c r="U3" s="15" t="s">
        <v>48</v>
      </c>
      <c r="V3" s="16" t="s">
        <v>49</v>
      </c>
      <c r="W3" s="35"/>
      <c r="X3" s="24" t="s">
        <v>44</v>
      </c>
      <c r="Y3" s="20" t="s">
        <v>45</v>
      </c>
      <c r="Z3" s="25" t="s">
        <v>46</v>
      </c>
      <c r="AA3" s="15" t="s">
        <v>48</v>
      </c>
      <c r="AB3" s="16"/>
      <c r="AC3" s="16" t="s">
        <v>49</v>
      </c>
      <c r="AD3" s="16"/>
      <c r="AE3" s="16" t="s">
        <v>51</v>
      </c>
      <c r="AF3" s="35"/>
      <c r="AG3" s="24" t="s">
        <v>48</v>
      </c>
      <c r="AH3" s="20" t="s">
        <v>49</v>
      </c>
      <c r="AI3" s="20" t="s">
        <v>51</v>
      </c>
      <c r="AJ3" s="20" t="s">
        <v>53</v>
      </c>
      <c r="AK3" s="29"/>
      <c r="AL3" s="25" t="s">
        <v>58</v>
      </c>
      <c r="AM3" s="15" t="s">
        <v>48</v>
      </c>
      <c r="AN3" s="16" t="s">
        <v>49</v>
      </c>
      <c r="AO3" s="35" t="s">
        <v>51</v>
      </c>
      <c r="AP3" s="24" t="s">
        <v>48</v>
      </c>
      <c r="AQ3" s="20" t="s">
        <v>49</v>
      </c>
      <c r="AR3" s="20"/>
      <c r="AS3" s="25"/>
      <c r="AT3" s="38" t="s">
        <v>48</v>
      </c>
      <c r="AU3" s="16" t="s">
        <v>49</v>
      </c>
      <c r="AV3" s="16"/>
      <c r="AW3" s="35"/>
      <c r="AY3" s="9" t="s">
        <v>66</v>
      </c>
      <c r="AZ3" s="10"/>
      <c r="BA3" s="85" t="s">
        <v>65</v>
      </c>
      <c r="BC3" s="84" t="s">
        <v>67</v>
      </c>
      <c r="BE3" t="s">
        <v>68</v>
      </c>
      <c r="BG3" t="s">
        <v>69</v>
      </c>
      <c r="BI3" t="s">
        <v>70</v>
      </c>
      <c r="BK3" t="s">
        <v>71</v>
      </c>
      <c r="BM3" t="s">
        <v>72</v>
      </c>
      <c r="BO3" t="s">
        <v>73</v>
      </c>
      <c r="BQ3" t="s">
        <v>74</v>
      </c>
      <c r="BS3" s="9" t="s">
        <v>75</v>
      </c>
      <c r="BT3" s="10"/>
      <c r="BU3" t="s">
        <v>68</v>
      </c>
      <c r="BW3" t="s">
        <v>76</v>
      </c>
      <c r="BY3" t="s">
        <v>78</v>
      </c>
    </row>
    <row r="4" spans="1:78" ht="16.5" thickBot="1" x14ac:dyDescent="0.3">
      <c r="B4" s="3" t="s">
        <v>1</v>
      </c>
      <c r="C4" s="8" t="s">
        <v>25</v>
      </c>
      <c r="D4" s="17"/>
      <c r="E4" s="18"/>
      <c r="F4" s="18"/>
      <c r="G4" s="21" t="s">
        <v>44</v>
      </c>
      <c r="H4" s="21" t="s">
        <v>45</v>
      </c>
      <c r="I4" s="30"/>
      <c r="J4" s="15" t="s">
        <v>44</v>
      </c>
      <c r="K4" s="16" t="s">
        <v>45</v>
      </c>
      <c r="L4" s="16" t="s">
        <v>46</v>
      </c>
      <c r="M4" s="16" t="s">
        <v>44</v>
      </c>
      <c r="N4" s="16" t="s">
        <v>45</v>
      </c>
      <c r="O4" s="35"/>
      <c r="P4" s="33"/>
      <c r="Q4" s="21"/>
      <c r="R4" s="21"/>
      <c r="S4" s="27"/>
      <c r="T4" s="74" t="s">
        <v>62</v>
      </c>
      <c r="U4" s="17"/>
      <c r="V4" s="18" t="s">
        <v>44</v>
      </c>
      <c r="W4" s="36" t="s">
        <v>45</v>
      </c>
      <c r="X4" s="26"/>
      <c r="Y4" s="21"/>
      <c r="Z4" s="27"/>
      <c r="AA4" s="17" t="s">
        <v>44</v>
      </c>
      <c r="AB4" s="18" t="s">
        <v>45</v>
      </c>
      <c r="AC4" s="18" t="s">
        <v>44</v>
      </c>
      <c r="AD4" s="18" t="s">
        <v>45</v>
      </c>
      <c r="AE4" s="18" t="s">
        <v>44</v>
      </c>
      <c r="AF4" s="36" t="s">
        <v>45</v>
      </c>
      <c r="AG4" s="26"/>
      <c r="AH4" s="21"/>
      <c r="AI4" s="21"/>
      <c r="AJ4" s="21"/>
      <c r="AK4" s="30" t="s">
        <v>62</v>
      </c>
      <c r="AL4" s="27"/>
      <c r="AM4" s="17"/>
      <c r="AN4" s="18"/>
      <c r="AO4" s="36"/>
      <c r="AP4" s="26"/>
      <c r="AQ4" s="21" t="s">
        <v>44</v>
      </c>
      <c r="AR4" s="21" t="s">
        <v>45</v>
      </c>
      <c r="AS4" s="27" t="s">
        <v>46</v>
      </c>
      <c r="AT4" s="39"/>
      <c r="AU4" s="18"/>
      <c r="AV4" s="14" t="s">
        <v>63</v>
      </c>
      <c r="AW4" s="14" t="s">
        <v>64</v>
      </c>
      <c r="AY4" s="11"/>
      <c r="AZ4" s="12"/>
      <c r="BS4" s="11" t="s">
        <v>63</v>
      </c>
      <c r="BT4" s="35" t="s">
        <v>64</v>
      </c>
      <c r="BW4" t="s">
        <v>77</v>
      </c>
      <c r="BX4" t="s">
        <v>64</v>
      </c>
    </row>
    <row r="5" spans="1:78" x14ac:dyDescent="0.25">
      <c r="A5" s="6" t="s">
        <v>0</v>
      </c>
      <c r="B5" s="4" t="s">
        <v>2</v>
      </c>
      <c r="C5" s="7" t="s">
        <v>3</v>
      </c>
      <c r="D5" s="40">
        <v>1</v>
      </c>
      <c r="E5" s="41">
        <v>3</v>
      </c>
      <c r="F5" s="42">
        <v>2</v>
      </c>
      <c r="G5" s="43">
        <v>1</v>
      </c>
      <c r="H5" s="44">
        <v>2</v>
      </c>
      <c r="I5" s="45">
        <v>4</v>
      </c>
      <c r="J5" s="46">
        <v>2</v>
      </c>
      <c r="K5" s="47">
        <v>1</v>
      </c>
      <c r="L5" s="47">
        <v>3</v>
      </c>
      <c r="M5" s="47">
        <v>3</v>
      </c>
      <c r="N5" s="47">
        <v>1</v>
      </c>
      <c r="O5" s="48">
        <v>2</v>
      </c>
      <c r="P5" s="49">
        <v>1</v>
      </c>
      <c r="Q5" s="50">
        <v>2</v>
      </c>
      <c r="R5" s="50">
        <v>2</v>
      </c>
      <c r="S5" s="51">
        <v>1</v>
      </c>
      <c r="T5" s="75">
        <v>2</v>
      </c>
      <c r="U5" s="52">
        <v>3</v>
      </c>
      <c r="V5" s="53">
        <v>2</v>
      </c>
      <c r="W5" s="54">
        <v>1</v>
      </c>
      <c r="X5" s="55">
        <v>2</v>
      </c>
      <c r="Y5" s="50">
        <v>2</v>
      </c>
      <c r="Z5" s="51">
        <v>5</v>
      </c>
      <c r="AA5" s="52">
        <v>1</v>
      </c>
      <c r="AB5" s="53">
        <v>1</v>
      </c>
      <c r="AC5" s="53">
        <v>2</v>
      </c>
      <c r="AD5" s="53">
        <v>1</v>
      </c>
      <c r="AE5" s="53">
        <v>3</v>
      </c>
      <c r="AF5" s="54">
        <v>0</v>
      </c>
      <c r="AG5" s="55">
        <v>1</v>
      </c>
      <c r="AH5" s="50">
        <v>3</v>
      </c>
      <c r="AI5" s="50">
        <v>1</v>
      </c>
      <c r="AJ5" s="50">
        <v>2</v>
      </c>
      <c r="AK5" s="78">
        <v>1</v>
      </c>
      <c r="AL5" s="51">
        <v>2</v>
      </c>
      <c r="AM5" s="52">
        <v>1</v>
      </c>
      <c r="AN5" s="53">
        <v>4</v>
      </c>
      <c r="AO5" s="54">
        <v>1</v>
      </c>
      <c r="AP5" s="55">
        <v>1</v>
      </c>
      <c r="AQ5" s="50">
        <v>1</v>
      </c>
      <c r="AR5" s="50">
        <v>1</v>
      </c>
      <c r="AS5" s="51">
        <v>2</v>
      </c>
      <c r="AT5" s="56">
        <v>2</v>
      </c>
      <c r="AU5" s="53">
        <v>4</v>
      </c>
      <c r="AV5" s="79">
        <f>SUM(D5:AU5)</f>
        <v>83</v>
      </c>
      <c r="AW5" s="80">
        <f>AV5/93*100</f>
        <v>89.247311827956992</v>
      </c>
      <c r="AY5" s="83">
        <f>SUM(D5:F5)+K5</f>
        <v>7</v>
      </c>
      <c r="AZ5" s="83">
        <f>AY5/7*100</f>
        <v>100</v>
      </c>
      <c r="BA5" s="83">
        <f>SUM(G5:I5)</f>
        <v>7</v>
      </c>
      <c r="BB5" s="83">
        <f>BA5/7*100</f>
        <v>100</v>
      </c>
      <c r="BC5" s="83">
        <f>SUM(J5:O5)</f>
        <v>12</v>
      </c>
      <c r="BD5" s="83">
        <f>BC5/13*100</f>
        <v>92.307692307692307</v>
      </c>
      <c r="BE5" s="83">
        <f>SUM(P5:T5)</f>
        <v>8</v>
      </c>
      <c r="BF5" s="83">
        <f>BE5/9*100</f>
        <v>88.888888888888886</v>
      </c>
      <c r="BG5" s="83">
        <f>SUM(U5:W5)</f>
        <v>6</v>
      </c>
      <c r="BH5" s="83">
        <f>BG5/7*100</f>
        <v>85.714285714285708</v>
      </c>
      <c r="BI5" s="83">
        <f>SUM(X5:Z5)</f>
        <v>9</v>
      </c>
      <c r="BJ5" s="83">
        <f>BI5/9*100</f>
        <v>100</v>
      </c>
      <c r="BK5" s="83">
        <f>SUM(AA5:AF5)</f>
        <v>8</v>
      </c>
      <c r="BL5" s="83">
        <f>BK5/10*100</f>
        <v>80</v>
      </c>
      <c r="BM5" s="83">
        <f>SUM(AG5:AL5)</f>
        <v>10</v>
      </c>
      <c r="BN5" s="83">
        <f>BM5/13*100</f>
        <v>76.923076923076934</v>
      </c>
      <c r="BO5" s="83">
        <f>SUM(AM5:AO5)</f>
        <v>6</v>
      </c>
      <c r="BP5" s="83">
        <f>BO5/8*100</f>
        <v>75</v>
      </c>
      <c r="BQ5" s="83">
        <f>SUM(AP5:AS5)</f>
        <v>5</v>
      </c>
      <c r="BR5" s="83">
        <f>BQ5/5*100</f>
        <v>100</v>
      </c>
      <c r="BS5" s="82">
        <f>SUM(AT5:AU5)</f>
        <v>6</v>
      </c>
      <c r="BT5" s="81">
        <f>BS5/6*100</f>
        <v>100</v>
      </c>
      <c r="BW5" s="86">
        <f t="shared" ref="BW5:BW33" si="0">SUM(J5,L5,AA5,AB5,AM5,AP5)</f>
        <v>9</v>
      </c>
      <c r="BX5" s="86">
        <f>BW5/10*100</f>
        <v>90</v>
      </c>
      <c r="BY5" s="86">
        <f t="shared" ref="BY5:BY33" si="1">SUM(O5,W5,AH5,AJ5,AQ5,AO5)</f>
        <v>10</v>
      </c>
      <c r="BZ5" s="86">
        <f>BY5/16*100</f>
        <v>62.5</v>
      </c>
    </row>
    <row r="6" spans="1:78" ht="15" customHeight="1" x14ac:dyDescent="0.25">
      <c r="A6" s="6" t="s">
        <v>0</v>
      </c>
      <c r="B6" s="4" t="s">
        <v>4</v>
      </c>
      <c r="C6" s="7" t="s">
        <v>5</v>
      </c>
      <c r="D6" s="46">
        <v>1</v>
      </c>
      <c r="E6" s="47">
        <v>2</v>
      </c>
      <c r="F6" s="48">
        <v>2</v>
      </c>
      <c r="G6" s="57">
        <v>1</v>
      </c>
      <c r="H6" s="58">
        <v>2</v>
      </c>
      <c r="I6" s="59">
        <v>4</v>
      </c>
      <c r="J6" s="46">
        <v>1</v>
      </c>
      <c r="K6" s="47">
        <v>1</v>
      </c>
      <c r="L6" s="47">
        <v>3</v>
      </c>
      <c r="M6" s="47">
        <v>0</v>
      </c>
      <c r="N6" s="47">
        <v>0</v>
      </c>
      <c r="O6" s="48">
        <v>2</v>
      </c>
      <c r="P6" s="60">
        <v>1</v>
      </c>
      <c r="Q6" s="58">
        <v>2</v>
      </c>
      <c r="R6" s="58">
        <v>0</v>
      </c>
      <c r="S6" s="61">
        <v>1</v>
      </c>
      <c r="T6" s="76">
        <v>2</v>
      </c>
      <c r="U6" s="46">
        <v>3</v>
      </c>
      <c r="V6" s="47">
        <v>2</v>
      </c>
      <c r="W6" s="48">
        <v>2</v>
      </c>
      <c r="X6" s="57">
        <v>0</v>
      </c>
      <c r="Y6" s="58">
        <v>1</v>
      </c>
      <c r="Z6" s="61">
        <v>0</v>
      </c>
      <c r="AA6" s="46">
        <v>1</v>
      </c>
      <c r="AB6" s="47">
        <v>0</v>
      </c>
      <c r="AC6" s="47">
        <v>2</v>
      </c>
      <c r="AD6" s="47">
        <v>0</v>
      </c>
      <c r="AE6" s="47">
        <v>2</v>
      </c>
      <c r="AF6" s="48">
        <v>0</v>
      </c>
      <c r="AG6" s="57">
        <v>1</v>
      </c>
      <c r="AH6" s="58">
        <v>2</v>
      </c>
      <c r="AI6" s="58">
        <v>1</v>
      </c>
      <c r="AJ6" s="58">
        <v>1</v>
      </c>
      <c r="AK6" s="59">
        <v>1</v>
      </c>
      <c r="AL6" s="61">
        <v>2</v>
      </c>
      <c r="AM6" s="46">
        <v>0</v>
      </c>
      <c r="AN6" s="47">
        <v>0</v>
      </c>
      <c r="AO6" s="48">
        <v>3</v>
      </c>
      <c r="AP6" s="57">
        <v>0</v>
      </c>
      <c r="AQ6" s="58">
        <v>0</v>
      </c>
      <c r="AR6" s="58">
        <v>0</v>
      </c>
      <c r="AS6" s="61">
        <v>0</v>
      </c>
      <c r="AT6" s="62">
        <v>2</v>
      </c>
      <c r="AU6" s="47">
        <v>0</v>
      </c>
      <c r="AV6" s="79">
        <f t="shared" ref="AV6:AV33" si="2">SUM(D6:AU6)</f>
        <v>51</v>
      </c>
      <c r="AW6" s="80">
        <f t="shared" ref="AW6:AW33" si="3">AV6/93*100</f>
        <v>54.838709677419352</v>
      </c>
      <c r="AY6" s="83">
        <f t="shared" ref="AY6:AY33" si="4">SUM(D6:F6)+K6</f>
        <v>6</v>
      </c>
      <c r="AZ6" s="83">
        <f t="shared" ref="AZ6:AZ33" si="5">AY6/7*100</f>
        <v>85.714285714285708</v>
      </c>
      <c r="BA6" s="83">
        <f t="shared" ref="BA6:BA33" si="6">SUM(G6:I6)</f>
        <v>7</v>
      </c>
      <c r="BB6" s="83">
        <f t="shared" ref="BB6:BB33" si="7">BA6/7*100</f>
        <v>100</v>
      </c>
      <c r="BC6" s="83">
        <f t="shared" ref="BC6:BC33" si="8">SUM(J6:O6)</f>
        <v>7</v>
      </c>
      <c r="BD6" s="83">
        <f t="shared" ref="BD6:BD33" si="9">BC6/13*100</f>
        <v>53.846153846153847</v>
      </c>
      <c r="BE6" s="83">
        <f t="shared" ref="BE6:BE33" si="10">SUM(P6:T6)</f>
        <v>6</v>
      </c>
      <c r="BF6" s="83">
        <f t="shared" ref="BF6:BF33" si="11">BE6/9*100</f>
        <v>66.666666666666657</v>
      </c>
      <c r="BG6" s="83">
        <f t="shared" ref="BG6:BG33" si="12">SUM(U6:W6)</f>
        <v>7</v>
      </c>
      <c r="BH6" s="83">
        <f t="shared" ref="BH6:BH33" si="13">BG6/7*100</f>
        <v>100</v>
      </c>
      <c r="BI6" s="83">
        <f t="shared" ref="BI6:BI33" si="14">SUM(X6:Z6)</f>
        <v>1</v>
      </c>
      <c r="BJ6" s="83">
        <f t="shared" ref="BJ6:BJ33" si="15">BI6/9*100</f>
        <v>11.111111111111111</v>
      </c>
      <c r="BK6" s="83">
        <f t="shared" ref="BK6:BK33" si="16">SUM(AA6:AF6)</f>
        <v>5</v>
      </c>
      <c r="BL6" s="83">
        <f t="shared" ref="BL6:BL33" si="17">BK6/10*100</f>
        <v>50</v>
      </c>
      <c r="BM6" s="83">
        <f t="shared" ref="BM6:BM33" si="18">SUM(AG6:AL6)</f>
        <v>8</v>
      </c>
      <c r="BN6" s="83">
        <f t="shared" ref="BN6:BN33" si="19">BM6/13*100</f>
        <v>61.53846153846154</v>
      </c>
      <c r="BO6" s="83">
        <f t="shared" ref="BO6:BO33" si="20">SUM(AM6:AO6)</f>
        <v>3</v>
      </c>
      <c r="BP6" s="83">
        <f t="shared" ref="BP6:BP33" si="21">BO6/8*100</f>
        <v>37.5</v>
      </c>
      <c r="BQ6" s="83">
        <f t="shared" ref="BQ6:BQ33" si="22">SUM(AP6:AS6)</f>
        <v>0</v>
      </c>
      <c r="BR6" s="83">
        <f t="shared" ref="BR6:BR33" si="23">BQ6/5*100</f>
        <v>0</v>
      </c>
      <c r="BS6" s="82">
        <f t="shared" ref="BS6:BS33" si="24">SUM(AT6:AU6)</f>
        <v>2</v>
      </c>
      <c r="BT6" s="81">
        <f t="shared" ref="BT6:BT33" si="25">BS6/6*100</f>
        <v>33.333333333333329</v>
      </c>
      <c r="BW6" s="86">
        <f t="shared" si="0"/>
        <v>5</v>
      </c>
      <c r="BX6" s="86">
        <f t="shared" ref="BX6:BX33" si="26">BW6/10*100</f>
        <v>50</v>
      </c>
      <c r="BY6" s="86">
        <f t="shared" si="1"/>
        <v>10</v>
      </c>
      <c r="BZ6" s="86">
        <f t="shared" ref="BZ6:BZ33" si="27">BY6/16*100</f>
        <v>62.5</v>
      </c>
    </row>
    <row r="7" spans="1:78" x14ac:dyDescent="0.25">
      <c r="A7" s="6" t="s">
        <v>0</v>
      </c>
      <c r="B7" s="4" t="s">
        <v>6</v>
      </c>
      <c r="C7" s="7" t="s">
        <v>7</v>
      </c>
      <c r="D7" s="46">
        <v>1</v>
      </c>
      <c r="E7" s="47">
        <v>3</v>
      </c>
      <c r="F7" s="48">
        <v>1</v>
      </c>
      <c r="G7" s="57">
        <v>1</v>
      </c>
      <c r="H7" s="58">
        <v>2</v>
      </c>
      <c r="I7" s="59">
        <v>4</v>
      </c>
      <c r="J7" s="46">
        <v>1</v>
      </c>
      <c r="K7" s="47">
        <v>1</v>
      </c>
      <c r="L7" s="47">
        <v>2</v>
      </c>
      <c r="M7" s="47">
        <v>3</v>
      </c>
      <c r="N7" s="47">
        <v>1</v>
      </c>
      <c r="O7" s="48">
        <v>3</v>
      </c>
      <c r="P7" s="60">
        <v>2</v>
      </c>
      <c r="Q7" s="58">
        <v>2</v>
      </c>
      <c r="R7" s="58">
        <v>2</v>
      </c>
      <c r="S7" s="61">
        <v>1</v>
      </c>
      <c r="T7" s="76">
        <v>2</v>
      </c>
      <c r="U7" s="46">
        <v>3</v>
      </c>
      <c r="V7" s="47">
        <v>1</v>
      </c>
      <c r="W7" s="48">
        <v>1</v>
      </c>
      <c r="X7" s="57">
        <v>2</v>
      </c>
      <c r="Y7" s="58">
        <v>2</v>
      </c>
      <c r="Z7" s="61">
        <v>0</v>
      </c>
      <c r="AA7" s="46">
        <v>1</v>
      </c>
      <c r="AB7" s="47">
        <v>1</v>
      </c>
      <c r="AC7" s="47">
        <v>2</v>
      </c>
      <c r="AD7" s="47">
        <v>0</v>
      </c>
      <c r="AE7" s="47">
        <v>3</v>
      </c>
      <c r="AF7" s="48">
        <v>1</v>
      </c>
      <c r="AG7" s="57">
        <v>1</v>
      </c>
      <c r="AH7" s="58">
        <v>3</v>
      </c>
      <c r="AI7" s="58">
        <v>0</v>
      </c>
      <c r="AJ7" s="58">
        <v>2</v>
      </c>
      <c r="AK7" s="59">
        <v>1</v>
      </c>
      <c r="AL7" s="61">
        <v>3</v>
      </c>
      <c r="AM7" s="46">
        <v>1</v>
      </c>
      <c r="AN7" s="47">
        <v>4</v>
      </c>
      <c r="AO7" s="48">
        <v>3</v>
      </c>
      <c r="AP7" s="57">
        <v>1</v>
      </c>
      <c r="AQ7" s="58">
        <v>0</v>
      </c>
      <c r="AR7" s="58">
        <v>1</v>
      </c>
      <c r="AS7" s="61">
        <v>1</v>
      </c>
      <c r="AT7" s="62">
        <v>2</v>
      </c>
      <c r="AU7" s="47">
        <v>4</v>
      </c>
      <c r="AV7" s="79">
        <f t="shared" si="2"/>
        <v>76</v>
      </c>
      <c r="AW7" s="80">
        <f t="shared" si="3"/>
        <v>81.72043010752688</v>
      </c>
      <c r="AY7" s="83">
        <f t="shared" si="4"/>
        <v>6</v>
      </c>
      <c r="AZ7" s="83">
        <f t="shared" si="5"/>
        <v>85.714285714285708</v>
      </c>
      <c r="BA7" s="83">
        <f t="shared" si="6"/>
        <v>7</v>
      </c>
      <c r="BB7" s="83">
        <f t="shared" si="7"/>
        <v>100</v>
      </c>
      <c r="BC7" s="83">
        <f t="shared" si="8"/>
        <v>11</v>
      </c>
      <c r="BD7" s="83">
        <f t="shared" si="9"/>
        <v>84.615384615384613</v>
      </c>
      <c r="BE7" s="83">
        <f t="shared" si="10"/>
        <v>9</v>
      </c>
      <c r="BF7" s="83">
        <f t="shared" si="11"/>
        <v>100</v>
      </c>
      <c r="BG7" s="83">
        <f t="shared" si="12"/>
        <v>5</v>
      </c>
      <c r="BH7" s="83">
        <f t="shared" si="13"/>
        <v>71.428571428571431</v>
      </c>
      <c r="BI7" s="83">
        <f t="shared" si="14"/>
        <v>4</v>
      </c>
      <c r="BJ7" s="83">
        <f t="shared" si="15"/>
        <v>44.444444444444443</v>
      </c>
      <c r="BK7" s="83">
        <f t="shared" si="16"/>
        <v>8</v>
      </c>
      <c r="BL7" s="83">
        <f t="shared" si="17"/>
        <v>80</v>
      </c>
      <c r="BM7" s="83">
        <f t="shared" si="18"/>
        <v>10</v>
      </c>
      <c r="BN7" s="83">
        <f t="shared" si="19"/>
        <v>76.923076923076934</v>
      </c>
      <c r="BO7" s="83">
        <f t="shared" si="20"/>
        <v>8</v>
      </c>
      <c r="BP7" s="83">
        <f t="shared" si="21"/>
        <v>100</v>
      </c>
      <c r="BQ7" s="83">
        <f t="shared" si="22"/>
        <v>3</v>
      </c>
      <c r="BR7" s="83">
        <f t="shared" si="23"/>
        <v>60</v>
      </c>
      <c r="BS7" s="82">
        <f t="shared" si="24"/>
        <v>6</v>
      </c>
      <c r="BT7" s="81">
        <f t="shared" si="25"/>
        <v>100</v>
      </c>
      <c r="BW7" s="86">
        <f t="shared" si="0"/>
        <v>7</v>
      </c>
      <c r="BX7" s="86">
        <f t="shared" si="26"/>
        <v>70</v>
      </c>
      <c r="BY7" s="86">
        <f t="shared" si="1"/>
        <v>12</v>
      </c>
      <c r="BZ7" s="86">
        <f t="shared" si="27"/>
        <v>75</v>
      </c>
    </row>
    <row r="8" spans="1:78" x14ac:dyDescent="0.25">
      <c r="A8" s="6" t="s">
        <v>0</v>
      </c>
      <c r="B8" s="4" t="s">
        <v>8</v>
      </c>
      <c r="C8" s="7" t="s">
        <v>9</v>
      </c>
      <c r="D8" s="46">
        <v>1</v>
      </c>
      <c r="E8" s="47">
        <v>0</v>
      </c>
      <c r="F8" s="48">
        <v>2</v>
      </c>
      <c r="G8" s="57">
        <v>1</v>
      </c>
      <c r="H8" s="58">
        <v>2</v>
      </c>
      <c r="I8" s="59">
        <v>4</v>
      </c>
      <c r="J8" s="46">
        <v>1</v>
      </c>
      <c r="K8" s="47">
        <v>1</v>
      </c>
      <c r="L8" s="47">
        <v>3</v>
      </c>
      <c r="M8" s="47">
        <v>3</v>
      </c>
      <c r="N8" s="47">
        <v>1</v>
      </c>
      <c r="O8" s="48">
        <v>3</v>
      </c>
      <c r="P8" s="60">
        <v>1</v>
      </c>
      <c r="Q8" s="58">
        <v>2</v>
      </c>
      <c r="R8" s="58">
        <v>1</v>
      </c>
      <c r="S8" s="61">
        <v>0</v>
      </c>
      <c r="T8" s="76">
        <v>2</v>
      </c>
      <c r="U8" s="46">
        <v>3</v>
      </c>
      <c r="V8" s="47">
        <v>2</v>
      </c>
      <c r="W8" s="48">
        <v>0</v>
      </c>
      <c r="X8" s="57">
        <v>2</v>
      </c>
      <c r="Y8" s="58">
        <v>2</v>
      </c>
      <c r="Z8" s="61">
        <v>4</v>
      </c>
      <c r="AA8" s="46">
        <v>1</v>
      </c>
      <c r="AB8" s="47">
        <v>0</v>
      </c>
      <c r="AC8" s="47">
        <v>2</v>
      </c>
      <c r="AD8" s="47">
        <v>0</v>
      </c>
      <c r="AE8" s="47">
        <v>3</v>
      </c>
      <c r="AF8" s="48">
        <v>2</v>
      </c>
      <c r="AG8" s="57">
        <v>1</v>
      </c>
      <c r="AH8" s="58">
        <v>1</v>
      </c>
      <c r="AI8" s="58">
        <v>0</v>
      </c>
      <c r="AJ8" s="58">
        <v>1</v>
      </c>
      <c r="AK8" s="59">
        <v>1</v>
      </c>
      <c r="AL8" s="61">
        <v>3</v>
      </c>
      <c r="AM8" s="46">
        <v>0</v>
      </c>
      <c r="AN8" s="47">
        <v>2</v>
      </c>
      <c r="AO8" s="48">
        <v>0</v>
      </c>
      <c r="AP8" s="57">
        <v>0</v>
      </c>
      <c r="AQ8" s="58">
        <v>1</v>
      </c>
      <c r="AR8" s="58">
        <v>1</v>
      </c>
      <c r="AS8" s="61">
        <v>0</v>
      </c>
      <c r="AT8" s="62">
        <v>2</v>
      </c>
      <c r="AU8" s="47">
        <v>0</v>
      </c>
      <c r="AV8" s="79">
        <f t="shared" si="2"/>
        <v>62</v>
      </c>
      <c r="AW8" s="80">
        <f t="shared" si="3"/>
        <v>66.666666666666657</v>
      </c>
      <c r="AY8" s="83">
        <f t="shared" si="4"/>
        <v>4</v>
      </c>
      <c r="AZ8" s="83">
        <f t="shared" si="5"/>
        <v>57.142857142857139</v>
      </c>
      <c r="BA8" s="83">
        <f t="shared" si="6"/>
        <v>7</v>
      </c>
      <c r="BB8" s="83">
        <f t="shared" si="7"/>
        <v>100</v>
      </c>
      <c r="BC8" s="83">
        <f t="shared" si="8"/>
        <v>12</v>
      </c>
      <c r="BD8" s="83">
        <f t="shared" si="9"/>
        <v>92.307692307692307</v>
      </c>
      <c r="BE8" s="83">
        <f t="shared" si="10"/>
        <v>6</v>
      </c>
      <c r="BF8" s="83">
        <f t="shared" si="11"/>
        <v>66.666666666666657</v>
      </c>
      <c r="BG8" s="83">
        <f t="shared" si="12"/>
        <v>5</v>
      </c>
      <c r="BH8" s="83">
        <f t="shared" si="13"/>
        <v>71.428571428571431</v>
      </c>
      <c r="BI8" s="83">
        <f t="shared" si="14"/>
        <v>8</v>
      </c>
      <c r="BJ8" s="83">
        <f t="shared" si="15"/>
        <v>88.888888888888886</v>
      </c>
      <c r="BK8" s="83">
        <f t="shared" si="16"/>
        <v>8</v>
      </c>
      <c r="BL8" s="83">
        <f t="shared" si="17"/>
        <v>80</v>
      </c>
      <c r="BM8" s="83">
        <f t="shared" si="18"/>
        <v>7</v>
      </c>
      <c r="BN8" s="83">
        <f t="shared" si="19"/>
        <v>53.846153846153847</v>
      </c>
      <c r="BO8" s="83">
        <f t="shared" si="20"/>
        <v>2</v>
      </c>
      <c r="BP8" s="83">
        <f t="shared" si="21"/>
        <v>25</v>
      </c>
      <c r="BQ8" s="83">
        <f t="shared" si="22"/>
        <v>2</v>
      </c>
      <c r="BR8" s="83">
        <f t="shared" si="23"/>
        <v>40</v>
      </c>
      <c r="BS8" s="82">
        <f t="shared" si="24"/>
        <v>2</v>
      </c>
      <c r="BT8" s="81">
        <f t="shared" si="25"/>
        <v>33.333333333333329</v>
      </c>
      <c r="BW8" s="86">
        <f t="shared" si="0"/>
        <v>5</v>
      </c>
      <c r="BX8" s="86">
        <f t="shared" si="26"/>
        <v>50</v>
      </c>
      <c r="BY8" s="86">
        <f t="shared" si="1"/>
        <v>6</v>
      </c>
      <c r="BZ8" s="86">
        <f t="shared" si="27"/>
        <v>37.5</v>
      </c>
    </row>
    <row r="9" spans="1:78" x14ac:dyDescent="0.25">
      <c r="A9" s="6" t="s">
        <v>0</v>
      </c>
      <c r="B9" s="4" t="s">
        <v>10</v>
      </c>
      <c r="C9" s="7" t="s">
        <v>11</v>
      </c>
      <c r="D9" s="46">
        <v>1</v>
      </c>
      <c r="E9" s="47">
        <v>3</v>
      </c>
      <c r="F9" s="48">
        <v>2</v>
      </c>
      <c r="G9" s="57">
        <v>1</v>
      </c>
      <c r="H9" s="58">
        <v>2</v>
      </c>
      <c r="I9" s="59">
        <v>4</v>
      </c>
      <c r="J9" s="46">
        <v>2</v>
      </c>
      <c r="K9" s="47">
        <v>1</v>
      </c>
      <c r="L9" s="47">
        <v>3</v>
      </c>
      <c r="M9" s="47">
        <v>3</v>
      </c>
      <c r="N9" s="47">
        <v>1</v>
      </c>
      <c r="O9" s="48">
        <v>2</v>
      </c>
      <c r="P9" s="60">
        <v>2</v>
      </c>
      <c r="Q9" s="58">
        <v>2</v>
      </c>
      <c r="R9" s="58">
        <v>2</v>
      </c>
      <c r="S9" s="61">
        <v>1</v>
      </c>
      <c r="T9" s="76">
        <v>2</v>
      </c>
      <c r="U9" s="46">
        <v>3</v>
      </c>
      <c r="V9" s="47">
        <v>2</v>
      </c>
      <c r="W9" s="48">
        <v>0</v>
      </c>
      <c r="X9" s="57">
        <v>2</v>
      </c>
      <c r="Y9" s="58">
        <v>2</v>
      </c>
      <c r="Z9" s="61">
        <v>0</v>
      </c>
      <c r="AA9" s="46">
        <v>0</v>
      </c>
      <c r="AB9" s="47">
        <v>0</v>
      </c>
      <c r="AC9" s="47">
        <v>2</v>
      </c>
      <c r="AD9" s="47">
        <v>1</v>
      </c>
      <c r="AE9" s="47">
        <v>3</v>
      </c>
      <c r="AF9" s="48">
        <v>0</v>
      </c>
      <c r="AG9" s="57">
        <v>1</v>
      </c>
      <c r="AH9" s="58">
        <v>2</v>
      </c>
      <c r="AI9" s="58">
        <v>1</v>
      </c>
      <c r="AJ9" s="58">
        <v>2</v>
      </c>
      <c r="AK9" s="59">
        <v>1</v>
      </c>
      <c r="AL9" s="61">
        <v>2</v>
      </c>
      <c r="AM9" s="46">
        <v>1</v>
      </c>
      <c r="AN9" s="47">
        <v>4</v>
      </c>
      <c r="AO9" s="48">
        <v>3</v>
      </c>
      <c r="AP9" s="57">
        <v>1</v>
      </c>
      <c r="AQ9" s="58">
        <v>0</v>
      </c>
      <c r="AR9" s="58">
        <v>1</v>
      </c>
      <c r="AS9" s="61">
        <v>1</v>
      </c>
      <c r="AT9" s="62">
        <v>2</v>
      </c>
      <c r="AU9" s="47">
        <v>4</v>
      </c>
      <c r="AV9" s="79">
        <f t="shared" si="2"/>
        <v>75</v>
      </c>
      <c r="AW9" s="80">
        <f t="shared" si="3"/>
        <v>80.645161290322577</v>
      </c>
      <c r="AY9" s="83">
        <f t="shared" si="4"/>
        <v>7</v>
      </c>
      <c r="AZ9" s="83">
        <f t="shared" si="5"/>
        <v>100</v>
      </c>
      <c r="BA9" s="83">
        <f t="shared" si="6"/>
        <v>7</v>
      </c>
      <c r="BB9" s="83">
        <f t="shared" si="7"/>
        <v>100</v>
      </c>
      <c r="BC9" s="83">
        <f t="shared" si="8"/>
        <v>12</v>
      </c>
      <c r="BD9" s="83">
        <f t="shared" si="9"/>
        <v>92.307692307692307</v>
      </c>
      <c r="BE9" s="83">
        <f t="shared" si="10"/>
        <v>9</v>
      </c>
      <c r="BF9" s="83">
        <f t="shared" si="11"/>
        <v>100</v>
      </c>
      <c r="BG9" s="83">
        <f t="shared" si="12"/>
        <v>5</v>
      </c>
      <c r="BH9" s="83">
        <f t="shared" si="13"/>
        <v>71.428571428571431</v>
      </c>
      <c r="BI9" s="83">
        <f t="shared" si="14"/>
        <v>4</v>
      </c>
      <c r="BJ9" s="83">
        <f t="shared" si="15"/>
        <v>44.444444444444443</v>
      </c>
      <c r="BK9" s="83">
        <f t="shared" si="16"/>
        <v>6</v>
      </c>
      <c r="BL9" s="83">
        <f t="shared" si="17"/>
        <v>60</v>
      </c>
      <c r="BM9" s="83">
        <f t="shared" si="18"/>
        <v>9</v>
      </c>
      <c r="BN9" s="83">
        <f t="shared" si="19"/>
        <v>69.230769230769226</v>
      </c>
      <c r="BO9" s="83">
        <f t="shared" si="20"/>
        <v>8</v>
      </c>
      <c r="BP9" s="83">
        <f t="shared" si="21"/>
        <v>100</v>
      </c>
      <c r="BQ9" s="83">
        <f t="shared" si="22"/>
        <v>3</v>
      </c>
      <c r="BR9" s="83">
        <f t="shared" si="23"/>
        <v>60</v>
      </c>
      <c r="BS9" s="82">
        <f t="shared" si="24"/>
        <v>6</v>
      </c>
      <c r="BT9" s="81">
        <f t="shared" si="25"/>
        <v>100</v>
      </c>
      <c r="BW9" s="86">
        <f t="shared" si="0"/>
        <v>7</v>
      </c>
      <c r="BX9" s="86">
        <f t="shared" si="26"/>
        <v>70</v>
      </c>
      <c r="BY9" s="86">
        <f t="shared" si="1"/>
        <v>9</v>
      </c>
      <c r="BZ9" s="86">
        <f t="shared" si="27"/>
        <v>56.25</v>
      </c>
    </row>
    <row r="10" spans="1:78" x14ac:dyDescent="0.25">
      <c r="A10" s="6" t="s">
        <v>0</v>
      </c>
      <c r="B10" s="4" t="s">
        <v>12</v>
      </c>
      <c r="C10" s="7" t="s">
        <v>13</v>
      </c>
      <c r="D10" s="46">
        <v>1</v>
      </c>
      <c r="E10" s="47">
        <v>3</v>
      </c>
      <c r="F10" s="48">
        <v>0</v>
      </c>
      <c r="G10" s="57">
        <v>1</v>
      </c>
      <c r="H10" s="58">
        <v>2</v>
      </c>
      <c r="I10" s="59">
        <v>4</v>
      </c>
      <c r="J10" s="46">
        <v>2</v>
      </c>
      <c r="K10" s="47">
        <v>0</v>
      </c>
      <c r="L10" s="47">
        <v>3</v>
      </c>
      <c r="M10" s="47">
        <v>1</v>
      </c>
      <c r="N10" s="47">
        <v>1</v>
      </c>
      <c r="O10" s="48">
        <v>3</v>
      </c>
      <c r="P10" s="60">
        <v>2</v>
      </c>
      <c r="Q10" s="58">
        <v>0</v>
      </c>
      <c r="R10" s="58">
        <v>2</v>
      </c>
      <c r="S10" s="61">
        <v>1</v>
      </c>
      <c r="T10" s="76">
        <v>2</v>
      </c>
      <c r="U10" s="46">
        <v>3</v>
      </c>
      <c r="V10" s="47">
        <v>2</v>
      </c>
      <c r="W10" s="48">
        <v>0</v>
      </c>
      <c r="X10" s="57">
        <v>2</v>
      </c>
      <c r="Y10" s="58">
        <v>2</v>
      </c>
      <c r="Z10" s="61">
        <v>5</v>
      </c>
      <c r="AA10" s="46">
        <v>1</v>
      </c>
      <c r="AB10" s="47">
        <v>0</v>
      </c>
      <c r="AC10" s="47">
        <v>1</v>
      </c>
      <c r="AD10" s="47">
        <v>1</v>
      </c>
      <c r="AE10" s="47">
        <v>3</v>
      </c>
      <c r="AF10" s="48">
        <v>0</v>
      </c>
      <c r="AG10" s="57">
        <v>1</v>
      </c>
      <c r="AH10" s="58">
        <v>2</v>
      </c>
      <c r="AI10" s="58">
        <v>1</v>
      </c>
      <c r="AJ10" s="58">
        <v>0</v>
      </c>
      <c r="AK10" s="59">
        <v>1</v>
      </c>
      <c r="AL10" s="61">
        <v>0</v>
      </c>
      <c r="AM10" s="46">
        <v>0</v>
      </c>
      <c r="AN10" s="47">
        <v>3</v>
      </c>
      <c r="AO10" s="48">
        <v>0</v>
      </c>
      <c r="AP10" s="57">
        <v>1</v>
      </c>
      <c r="AQ10" s="58">
        <v>0</v>
      </c>
      <c r="AR10" s="58">
        <v>1</v>
      </c>
      <c r="AS10" s="61">
        <v>1</v>
      </c>
      <c r="AT10" s="62">
        <v>2</v>
      </c>
      <c r="AU10" s="47">
        <v>0</v>
      </c>
      <c r="AV10" s="79">
        <f t="shared" si="2"/>
        <v>61</v>
      </c>
      <c r="AW10" s="80">
        <f t="shared" si="3"/>
        <v>65.591397849462368</v>
      </c>
      <c r="AY10" s="83">
        <f t="shared" si="4"/>
        <v>4</v>
      </c>
      <c r="AZ10" s="83">
        <f t="shared" si="5"/>
        <v>57.142857142857139</v>
      </c>
      <c r="BA10" s="83">
        <f t="shared" si="6"/>
        <v>7</v>
      </c>
      <c r="BB10" s="83">
        <f t="shared" si="7"/>
        <v>100</v>
      </c>
      <c r="BC10" s="83">
        <f t="shared" si="8"/>
        <v>10</v>
      </c>
      <c r="BD10" s="83">
        <f t="shared" si="9"/>
        <v>76.923076923076934</v>
      </c>
      <c r="BE10" s="83">
        <f t="shared" si="10"/>
        <v>7</v>
      </c>
      <c r="BF10" s="83">
        <f t="shared" si="11"/>
        <v>77.777777777777786</v>
      </c>
      <c r="BG10" s="83">
        <f t="shared" si="12"/>
        <v>5</v>
      </c>
      <c r="BH10" s="83">
        <f t="shared" si="13"/>
        <v>71.428571428571431</v>
      </c>
      <c r="BI10" s="83">
        <f t="shared" si="14"/>
        <v>9</v>
      </c>
      <c r="BJ10" s="83">
        <f t="shared" si="15"/>
        <v>100</v>
      </c>
      <c r="BK10" s="83">
        <f t="shared" si="16"/>
        <v>6</v>
      </c>
      <c r="BL10" s="83">
        <f t="shared" si="17"/>
        <v>60</v>
      </c>
      <c r="BM10" s="83">
        <f t="shared" si="18"/>
        <v>5</v>
      </c>
      <c r="BN10" s="83">
        <f t="shared" si="19"/>
        <v>38.461538461538467</v>
      </c>
      <c r="BO10" s="83">
        <f t="shared" si="20"/>
        <v>3</v>
      </c>
      <c r="BP10" s="83">
        <f t="shared" si="21"/>
        <v>37.5</v>
      </c>
      <c r="BQ10" s="83">
        <f t="shared" si="22"/>
        <v>3</v>
      </c>
      <c r="BR10" s="83">
        <f t="shared" si="23"/>
        <v>60</v>
      </c>
      <c r="BS10" s="82">
        <f t="shared" si="24"/>
        <v>2</v>
      </c>
      <c r="BT10" s="81">
        <f t="shared" si="25"/>
        <v>33.333333333333329</v>
      </c>
      <c r="BW10" s="86">
        <f t="shared" si="0"/>
        <v>7</v>
      </c>
      <c r="BX10" s="86">
        <f t="shared" si="26"/>
        <v>70</v>
      </c>
      <c r="BY10" s="86">
        <f t="shared" si="1"/>
        <v>5</v>
      </c>
      <c r="BZ10" s="86">
        <f t="shared" si="27"/>
        <v>31.25</v>
      </c>
    </row>
    <row r="11" spans="1:78" x14ac:dyDescent="0.25">
      <c r="A11" s="6" t="s">
        <v>0</v>
      </c>
      <c r="B11" s="4" t="s">
        <v>14</v>
      </c>
      <c r="C11" s="7" t="s">
        <v>11</v>
      </c>
      <c r="D11" s="46">
        <v>1</v>
      </c>
      <c r="E11" s="47">
        <v>2</v>
      </c>
      <c r="F11" s="48">
        <v>2</v>
      </c>
      <c r="G11" s="57">
        <v>1</v>
      </c>
      <c r="H11" s="58">
        <v>1</v>
      </c>
      <c r="I11" s="59">
        <v>4</v>
      </c>
      <c r="J11" s="46">
        <v>1</v>
      </c>
      <c r="K11" s="47">
        <v>0</v>
      </c>
      <c r="L11" s="47">
        <v>2</v>
      </c>
      <c r="M11" s="47">
        <v>3</v>
      </c>
      <c r="N11" s="47">
        <v>1</v>
      </c>
      <c r="O11" s="48">
        <v>2</v>
      </c>
      <c r="P11" s="60">
        <v>1</v>
      </c>
      <c r="Q11" s="58">
        <v>2</v>
      </c>
      <c r="R11" s="58">
        <v>0</v>
      </c>
      <c r="S11" s="61">
        <v>1</v>
      </c>
      <c r="T11" s="76">
        <v>2</v>
      </c>
      <c r="U11" s="46">
        <v>3</v>
      </c>
      <c r="V11" s="47">
        <v>2</v>
      </c>
      <c r="W11" s="48">
        <v>2</v>
      </c>
      <c r="X11" s="57">
        <v>2</v>
      </c>
      <c r="Y11" s="58">
        <v>2</v>
      </c>
      <c r="Z11" s="61">
        <v>5</v>
      </c>
      <c r="AA11" s="46">
        <v>1</v>
      </c>
      <c r="AB11" s="47">
        <v>1</v>
      </c>
      <c r="AC11" s="47">
        <v>2</v>
      </c>
      <c r="AD11" s="47">
        <v>0</v>
      </c>
      <c r="AE11" s="47">
        <v>0</v>
      </c>
      <c r="AF11" s="48">
        <v>0</v>
      </c>
      <c r="AG11" s="57">
        <v>1</v>
      </c>
      <c r="AH11" s="58">
        <v>0</v>
      </c>
      <c r="AI11" s="58">
        <v>1</v>
      </c>
      <c r="AJ11" s="58">
        <v>1</v>
      </c>
      <c r="AK11" s="59">
        <v>1</v>
      </c>
      <c r="AL11" s="61">
        <v>2</v>
      </c>
      <c r="AM11" s="46">
        <v>0</v>
      </c>
      <c r="AN11" s="47">
        <v>0</v>
      </c>
      <c r="AO11" s="48">
        <v>0</v>
      </c>
      <c r="AP11" s="57">
        <v>0</v>
      </c>
      <c r="AQ11" s="58">
        <v>0</v>
      </c>
      <c r="AR11" s="58">
        <v>0</v>
      </c>
      <c r="AS11" s="61">
        <v>0</v>
      </c>
      <c r="AT11" s="62">
        <v>0</v>
      </c>
      <c r="AU11" s="47">
        <v>0</v>
      </c>
      <c r="AV11" s="79">
        <f t="shared" si="2"/>
        <v>52</v>
      </c>
      <c r="AW11" s="80">
        <f t="shared" si="3"/>
        <v>55.913978494623649</v>
      </c>
      <c r="AY11" s="83">
        <f t="shared" si="4"/>
        <v>5</v>
      </c>
      <c r="AZ11" s="83">
        <f t="shared" si="5"/>
        <v>71.428571428571431</v>
      </c>
      <c r="BA11" s="83">
        <f t="shared" si="6"/>
        <v>6</v>
      </c>
      <c r="BB11" s="83">
        <f t="shared" si="7"/>
        <v>85.714285714285708</v>
      </c>
      <c r="BC11" s="83">
        <f t="shared" si="8"/>
        <v>9</v>
      </c>
      <c r="BD11" s="83">
        <f t="shared" si="9"/>
        <v>69.230769230769226</v>
      </c>
      <c r="BE11" s="83">
        <f t="shared" si="10"/>
        <v>6</v>
      </c>
      <c r="BF11" s="83">
        <f t="shared" si="11"/>
        <v>66.666666666666657</v>
      </c>
      <c r="BG11" s="83">
        <f t="shared" si="12"/>
        <v>7</v>
      </c>
      <c r="BH11" s="83">
        <f t="shared" si="13"/>
        <v>100</v>
      </c>
      <c r="BI11" s="83">
        <f t="shared" si="14"/>
        <v>9</v>
      </c>
      <c r="BJ11" s="83">
        <f t="shared" si="15"/>
        <v>100</v>
      </c>
      <c r="BK11" s="83">
        <f t="shared" si="16"/>
        <v>4</v>
      </c>
      <c r="BL11" s="83">
        <f t="shared" si="17"/>
        <v>40</v>
      </c>
      <c r="BM11" s="83">
        <f t="shared" si="18"/>
        <v>6</v>
      </c>
      <c r="BN11" s="83">
        <f t="shared" si="19"/>
        <v>46.153846153846153</v>
      </c>
      <c r="BO11" s="83">
        <f t="shared" si="20"/>
        <v>0</v>
      </c>
      <c r="BP11" s="83">
        <f t="shared" si="21"/>
        <v>0</v>
      </c>
      <c r="BQ11" s="83">
        <f t="shared" si="22"/>
        <v>0</v>
      </c>
      <c r="BR11" s="83">
        <f t="shared" si="23"/>
        <v>0</v>
      </c>
      <c r="BS11" s="82">
        <f t="shared" si="24"/>
        <v>0</v>
      </c>
      <c r="BT11" s="81">
        <f t="shared" si="25"/>
        <v>0</v>
      </c>
      <c r="BW11" s="86">
        <f t="shared" si="0"/>
        <v>5</v>
      </c>
      <c r="BX11" s="86">
        <f t="shared" si="26"/>
        <v>50</v>
      </c>
      <c r="BY11" s="86">
        <f t="shared" si="1"/>
        <v>5</v>
      </c>
      <c r="BZ11" s="86">
        <f t="shared" si="27"/>
        <v>31.25</v>
      </c>
    </row>
    <row r="12" spans="1:78" x14ac:dyDescent="0.25">
      <c r="A12" s="6" t="s">
        <v>0</v>
      </c>
      <c r="B12" s="4" t="s">
        <v>15</v>
      </c>
      <c r="C12" s="7" t="s">
        <v>3</v>
      </c>
      <c r="D12" s="46">
        <v>1</v>
      </c>
      <c r="E12" s="47">
        <v>3</v>
      </c>
      <c r="F12" s="48">
        <v>2</v>
      </c>
      <c r="G12" s="57">
        <v>1</v>
      </c>
      <c r="H12" s="58">
        <v>2</v>
      </c>
      <c r="I12" s="59">
        <v>4</v>
      </c>
      <c r="J12" s="46">
        <v>2</v>
      </c>
      <c r="K12" s="47">
        <v>1</v>
      </c>
      <c r="L12" s="47">
        <v>3</v>
      </c>
      <c r="M12" s="47">
        <v>3</v>
      </c>
      <c r="N12" s="47">
        <v>1</v>
      </c>
      <c r="O12" s="48">
        <v>2</v>
      </c>
      <c r="P12" s="60">
        <v>2</v>
      </c>
      <c r="Q12" s="58">
        <v>2</v>
      </c>
      <c r="R12" s="58">
        <v>2</v>
      </c>
      <c r="S12" s="61">
        <v>1</v>
      </c>
      <c r="T12" s="76">
        <v>2</v>
      </c>
      <c r="U12" s="46">
        <v>3</v>
      </c>
      <c r="V12" s="47">
        <v>2</v>
      </c>
      <c r="W12" s="48">
        <v>2</v>
      </c>
      <c r="X12" s="57">
        <v>2</v>
      </c>
      <c r="Y12" s="58">
        <v>2</v>
      </c>
      <c r="Z12" s="61">
        <v>5</v>
      </c>
      <c r="AA12" s="46">
        <v>1</v>
      </c>
      <c r="AB12" s="47">
        <v>0</v>
      </c>
      <c r="AC12" s="47">
        <v>2</v>
      </c>
      <c r="AD12" s="47">
        <v>1</v>
      </c>
      <c r="AE12" s="47">
        <v>3</v>
      </c>
      <c r="AF12" s="48">
        <v>0</v>
      </c>
      <c r="AG12" s="57">
        <v>1</v>
      </c>
      <c r="AH12" s="58">
        <v>2</v>
      </c>
      <c r="AI12" s="58">
        <v>2</v>
      </c>
      <c r="AJ12" s="58">
        <v>2</v>
      </c>
      <c r="AK12" s="59">
        <v>1</v>
      </c>
      <c r="AL12" s="61">
        <v>1</v>
      </c>
      <c r="AM12" s="46">
        <v>1</v>
      </c>
      <c r="AN12" s="47">
        <v>1</v>
      </c>
      <c r="AO12" s="48">
        <v>1</v>
      </c>
      <c r="AP12" s="57">
        <v>1</v>
      </c>
      <c r="AQ12" s="58">
        <v>1</v>
      </c>
      <c r="AR12" s="58">
        <v>1</v>
      </c>
      <c r="AS12" s="61">
        <v>2</v>
      </c>
      <c r="AT12" s="62">
        <v>2</v>
      </c>
      <c r="AU12" s="47">
        <v>4</v>
      </c>
      <c r="AV12" s="79">
        <f t="shared" si="2"/>
        <v>80</v>
      </c>
      <c r="AW12" s="80">
        <f t="shared" si="3"/>
        <v>86.021505376344081</v>
      </c>
      <c r="AY12" s="83">
        <f t="shared" si="4"/>
        <v>7</v>
      </c>
      <c r="AZ12" s="83">
        <f t="shared" si="5"/>
        <v>100</v>
      </c>
      <c r="BA12" s="83">
        <f t="shared" si="6"/>
        <v>7</v>
      </c>
      <c r="BB12" s="83">
        <f t="shared" si="7"/>
        <v>100</v>
      </c>
      <c r="BC12" s="83">
        <f t="shared" si="8"/>
        <v>12</v>
      </c>
      <c r="BD12" s="83">
        <f t="shared" si="9"/>
        <v>92.307692307692307</v>
      </c>
      <c r="BE12" s="83">
        <f t="shared" si="10"/>
        <v>9</v>
      </c>
      <c r="BF12" s="83">
        <f t="shared" si="11"/>
        <v>100</v>
      </c>
      <c r="BG12" s="83">
        <f t="shared" si="12"/>
        <v>7</v>
      </c>
      <c r="BH12" s="83">
        <f t="shared" si="13"/>
        <v>100</v>
      </c>
      <c r="BI12" s="83">
        <f t="shared" si="14"/>
        <v>9</v>
      </c>
      <c r="BJ12" s="83">
        <f t="shared" si="15"/>
        <v>100</v>
      </c>
      <c r="BK12" s="83">
        <f t="shared" si="16"/>
        <v>7</v>
      </c>
      <c r="BL12" s="83">
        <f t="shared" si="17"/>
        <v>70</v>
      </c>
      <c r="BM12" s="83">
        <f t="shared" si="18"/>
        <v>9</v>
      </c>
      <c r="BN12" s="83">
        <f t="shared" si="19"/>
        <v>69.230769230769226</v>
      </c>
      <c r="BO12" s="83">
        <f t="shared" si="20"/>
        <v>3</v>
      </c>
      <c r="BP12" s="83">
        <f t="shared" si="21"/>
        <v>37.5</v>
      </c>
      <c r="BQ12" s="83">
        <f t="shared" si="22"/>
        <v>5</v>
      </c>
      <c r="BR12" s="83">
        <f t="shared" si="23"/>
        <v>100</v>
      </c>
      <c r="BS12" s="82">
        <f t="shared" si="24"/>
        <v>6</v>
      </c>
      <c r="BT12" s="81">
        <f t="shared" si="25"/>
        <v>100</v>
      </c>
      <c r="BW12" s="86">
        <f t="shared" si="0"/>
        <v>8</v>
      </c>
      <c r="BX12" s="86">
        <f t="shared" si="26"/>
        <v>80</v>
      </c>
      <c r="BY12" s="86">
        <f t="shared" si="1"/>
        <v>10</v>
      </c>
      <c r="BZ12" s="86">
        <f t="shared" si="27"/>
        <v>62.5</v>
      </c>
    </row>
    <row r="13" spans="1:78" x14ac:dyDescent="0.25">
      <c r="A13" s="6" t="s">
        <v>0</v>
      </c>
      <c r="B13" s="4" t="s">
        <v>16</v>
      </c>
      <c r="C13" s="7" t="s">
        <v>5</v>
      </c>
      <c r="D13" s="46">
        <v>1</v>
      </c>
      <c r="E13" s="47">
        <v>3</v>
      </c>
      <c r="F13" s="48">
        <v>2</v>
      </c>
      <c r="G13" s="57">
        <v>1</v>
      </c>
      <c r="H13" s="58">
        <v>2</v>
      </c>
      <c r="I13" s="59">
        <v>4</v>
      </c>
      <c r="J13" s="46">
        <v>0</v>
      </c>
      <c r="K13" s="47">
        <v>1</v>
      </c>
      <c r="L13" s="47">
        <v>3</v>
      </c>
      <c r="M13" s="47">
        <v>0</v>
      </c>
      <c r="N13" s="47">
        <v>3</v>
      </c>
      <c r="O13" s="48">
        <v>2</v>
      </c>
      <c r="P13" s="60">
        <v>2</v>
      </c>
      <c r="Q13" s="58">
        <v>2</v>
      </c>
      <c r="R13" s="58">
        <v>2</v>
      </c>
      <c r="S13" s="61">
        <v>1</v>
      </c>
      <c r="T13" s="76">
        <v>2</v>
      </c>
      <c r="U13" s="46">
        <v>3</v>
      </c>
      <c r="V13" s="47">
        <v>2</v>
      </c>
      <c r="W13" s="48">
        <v>2</v>
      </c>
      <c r="X13" s="57">
        <v>2</v>
      </c>
      <c r="Y13" s="58">
        <v>1</v>
      </c>
      <c r="Z13" s="61">
        <v>0</v>
      </c>
      <c r="AA13" s="46">
        <v>1</v>
      </c>
      <c r="AB13" s="47">
        <v>0</v>
      </c>
      <c r="AC13" s="47">
        <v>2</v>
      </c>
      <c r="AD13" s="47">
        <v>0</v>
      </c>
      <c r="AE13" s="47">
        <v>3</v>
      </c>
      <c r="AF13" s="48">
        <v>0</v>
      </c>
      <c r="AG13" s="57">
        <v>1</v>
      </c>
      <c r="AH13" s="58">
        <v>3</v>
      </c>
      <c r="AI13" s="58">
        <v>1</v>
      </c>
      <c r="AJ13" s="58">
        <v>2</v>
      </c>
      <c r="AK13" s="59">
        <v>1</v>
      </c>
      <c r="AL13" s="61">
        <v>2</v>
      </c>
      <c r="AM13" s="46">
        <v>0</v>
      </c>
      <c r="AN13" s="47">
        <v>3</v>
      </c>
      <c r="AO13" s="48">
        <v>2</v>
      </c>
      <c r="AP13" s="57">
        <v>1</v>
      </c>
      <c r="AQ13" s="58">
        <v>0</v>
      </c>
      <c r="AR13" s="58">
        <v>1</v>
      </c>
      <c r="AS13" s="61">
        <v>1</v>
      </c>
      <c r="AT13" s="62">
        <v>0</v>
      </c>
      <c r="AU13" s="47">
        <v>1</v>
      </c>
      <c r="AV13" s="79">
        <f t="shared" si="2"/>
        <v>66</v>
      </c>
      <c r="AW13" s="80">
        <f t="shared" si="3"/>
        <v>70.967741935483872</v>
      </c>
      <c r="AY13" s="83">
        <f t="shared" si="4"/>
        <v>7</v>
      </c>
      <c r="AZ13" s="83">
        <f t="shared" si="5"/>
        <v>100</v>
      </c>
      <c r="BA13" s="83">
        <f t="shared" si="6"/>
        <v>7</v>
      </c>
      <c r="BB13" s="83">
        <f t="shared" si="7"/>
        <v>100</v>
      </c>
      <c r="BC13" s="83">
        <f t="shared" si="8"/>
        <v>9</v>
      </c>
      <c r="BD13" s="83">
        <f t="shared" si="9"/>
        <v>69.230769230769226</v>
      </c>
      <c r="BE13" s="83">
        <f t="shared" si="10"/>
        <v>9</v>
      </c>
      <c r="BF13" s="83">
        <f t="shared" si="11"/>
        <v>100</v>
      </c>
      <c r="BG13" s="83">
        <f t="shared" si="12"/>
        <v>7</v>
      </c>
      <c r="BH13" s="83">
        <f t="shared" si="13"/>
        <v>100</v>
      </c>
      <c r="BI13" s="83">
        <f t="shared" si="14"/>
        <v>3</v>
      </c>
      <c r="BJ13" s="83">
        <f t="shared" si="15"/>
        <v>33.333333333333329</v>
      </c>
      <c r="BK13" s="83">
        <f t="shared" si="16"/>
        <v>6</v>
      </c>
      <c r="BL13" s="83">
        <f t="shared" si="17"/>
        <v>60</v>
      </c>
      <c r="BM13" s="83">
        <f t="shared" si="18"/>
        <v>10</v>
      </c>
      <c r="BN13" s="83">
        <f t="shared" si="19"/>
        <v>76.923076923076934</v>
      </c>
      <c r="BO13" s="83">
        <f t="shared" si="20"/>
        <v>5</v>
      </c>
      <c r="BP13" s="83">
        <f t="shared" si="21"/>
        <v>62.5</v>
      </c>
      <c r="BQ13" s="83">
        <f t="shared" si="22"/>
        <v>3</v>
      </c>
      <c r="BR13" s="83">
        <f t="shared" si="23"/>
        <v>60</v>
      </c>
      <c r="BS13" s="82">
        <f t="shared" si="24"/>
        <v>1</v>
      </c>
      <c r="BT13" s="81">
        <f t="shared" si="25"/>
        <v>16.666666666666664</v>
      </c>
      <c r="BW13" s="86">
        <f t="shared" si="0"/>
        <v>5</v>
      </c>
      <c r="BX13" s="86">
        <f t="shared" si="26"/>
        <v>50</v>
      </c>
      <c r="BY13" s="86">
        <f t="shared" si="1"/>
        <v>11</v>
      </c>
      <c r="BZ13" s="86">
        <f t="shared" si="27"/>
        <v>68.75</v>
      </c>
    </row>
    <row r="14" spans="1:78" x14ac:dyDescent="0.25">
      <c r="A14" s="6" t="s">
        <v>0</v>
      </c>
      <c r="B14" s="4" t="s">
        <v>17</v>
      </c>
      <c r="C14" s="7" t="s">
        <v>18</v>
      </c>
      <c r="D14" s="46">
        <v>1</v>
      </c>
      <c r="E14" s="47">
        <v>3</v>
      </c>
      <c r="F14" s="48">
        <v>2</v>
      </c>
      <c r="G14" s="57">
        <v>1</v>
      </c>
      <c r="H14" s="58">
        <v>2</v>
      </c>
      <c r="I14" s="59">
        <v>4</v>
      </c>
      <c r="J14" s="46">
        <v>2</v>
      </c>
      <c r="K14" s="47">
        <v>1</v>
      </c>
      <c r="L14" s="47">
        <v>3</v>
      </c>
      <c r="M14" s="47">
        <v>3</v>
      </c>
      <c r="N14" s="47">
        <v>1</v>
      </c>
      <c r="O14" s="48">
        <v>3</v>
      </c>
      <c r="P14" s="60">
        <v>2</v>
      </c>
      <c r="Q14" s="58">
        <v>2</v>
      </c>
      <c r="R14" s="58">
        <v>2</v>
      </c>
      <c r="S14" s="61">
        <v>1</v>
      </c>
      <c r="T14" s="76">
        <v>2</v>
      </c>
      <c r="U14" s="46">
        <v>3</v>
      </c>
      <c r="V14" s="47">
        <v>2</v>
      </c>
      <c r="W14" s="48">
        <v>0</v>
      </c>
      <c r="X14" s="57">
        <v>2</v>
      </c>
      <c r="Y14" s="58">
        <v>2</v>
      </c>
      <c r="Z14" s="61">
        <v>5</v>
      </c>
      <c r="AA14" s="46">
        <v>1</v>
      </c>
      <c r="AB14" s="47">
        <v>1</v>
      </c>
      <c r="AC14" s="47">
        <v>2</v>
      </c>
      <c r="AD14" s="47">
        <v>1</v>
      </c>
      <c r="AE14" s="47">
        <v>3</v>
      </c>
      <c r="AF14" s="48">
        <v>2</v>
      </c>
      <c r="AG14" s="57">
        <v>1</v>
      </c>
      <c r="AH14" s="58">
        <v>4</v>
      </c>
      <c r="AI14" s="58">
        <v>2</v>
      </c>
      <c r="AJ14" s="58">
        <v>2</v>
      </c>
      <c r="AK14" s="59">
        <v>1</v>
      </c>
      <c r="AL14" s="61">
        <v>3</v>
      </c>
      <c r="AM14" s="46">
        <v>1</v>
      </c>
      <c r="AN14" s="47">
        <v>4</v>
      </c>
      <c r="AO14" s="48">
        <v>3</v>
      </c>
      <c r="AP14" s="57">
        <v>1</v>
      </c>
      <c r="AQ14" s="58">
        <v>0</v>
      </c>
      <c r="AR14" s="58">
        <v>1</v>
      </c>
      <c r="AS14" s="61">
        <v>2</v>
      </c>
      <c r="AT14" s="62">
        <v>2</v>
      </c>
      <c r="AU14" s="47">
        <v>4</v>
      </c>
      <c r="AV14" s="79">
        <f t="shared" si="2"/>
        <v>90</v>
      </c>
      <c r="AW14" s="80">
        <f t="shared" si="3"/>
        <v>96.774193548387103</v>
      </c>
      <c r="AY14" s="83">
        <f t="shared" si="4"/>
        <v>7</v>
      </c>
      <c r="AZ14" s="83">
        <f t="shared" si="5"/>
        <v>100</v>
      </c>
      <c r="BA14" s="83">
        <f t="shared" si="6"/>
        <v>7</v>
      </c>
      <c r="BB14" s="83">
        <f t="shared" si="7"/>
        <v>100</v>
      </c>
      <c r="BC14" s="83">
        <f t="shared" si="8"/>
        <v>13</v>
      </c>
      <c r="BD14" s="83">
        <f t="shared" si="9"/>
        <v>100</v>
      </c>
      <c r="BE14" s="83">
        <f t="shared" si="10"/>
        <v>9</v>
      </c>
      <c r="BF14" s="83">
        <f t="shared" si="11"/>
        <v>100</v>
      </c>
      <c r="BG14" s="83">
        <f t="shared" si="12"/>
        <v>5</v>
      </c>
      <c r="BH14" s="83">
        <f t="shared" si="13"/>
        <v>71.428571428571431</v>
      </c>
      <c r="BI14" s="83">
        <f t="shared" si="14"/>
        <v>9</v>
      </c>
      <c r="BJ14" s="83">
        <f t="shared" si="15"/>
        <v>100</v>
      </c>
      <c r="BK14" s="83">
        <f t="shared" si="16"/>
        <v>10</v>
      </c>
      <c r="BL14" s="83">
        <f t="shared" si="17"/>
        <v>100</v>
      </c>
      <c r="BM14" s="83">
        <f t="shared" si="18"/>
        <v>13</v>
      </c>
      <c r="BN14" s="83">
        <f t="shared" si="19"/>
        <v>100</v>
      </c>
      <c r="BO14" s="83">
        <f t="shared" si="20"/>
        <v>8</v>
      </c>
      <c r="BP14" s="83">
        <f t="shared" si="21"/>
        <v>100</v>
      </c>
      <c r="BQ14" s="83">
        <f t="shared" si="22"/>
        <v>4</v>
      </c>
      <c r="BR14" s="83">
        <f t="shared" si="23"/>
        <v>80</v>
      </c>
      <c r="BS14" s="82">
        <f t="shared" si="24"/>
        <v>6</v>
      </c>
      <c r="BT14" s="81">
        <f t="shared" si="25"/>
        <v>100</v>
      </c>
      <c r="BW14" s="86">
        <f t="shared" si="0"/>
        <v>9</v>
      </c>
      <c r="BX14" s="86">
        <f t="shared" si="26"/>
        <v>90</v>
      </c>
      <c r="BY14" s="86">
        <f t="shared" si="1"/>
        <v>12</v>
      </c>
      <c r="BZ14" s="86">
        <f t="shared" si="27"/>
        <v>75</v>
      </c>
    </row>
    <row r="15" spans="1:78" x14ac:dyDescent="0.25">
      <c r="A15" s="6" t="s">
        <v>0</v>
      </c>
      <c r="B15" s="4" t="s">
        <v>19</v>
      </c>
      <c r="C15" s="7" t="s">
        <v>20</v>
      </c>
      <c r="D15" s="46">
        <v>1</v>
      </c>
      <c r="E15" s="47">
        <v>3</v>
      </c>
      <c r="F15" s="48">
        <v>2</v>
      </c>
      <c r="G15" s="57">
        <v>1</v>
      </c>
      <c r="H15" s="58">
        <v>2</v>
      </c>
      <c r="I15" s="59">
        <v>4</v>
      </c>
      <c r="J15" s="46">
        <v>2</v>
      </c>
      <c r="K15" s="47">
        <v>0</v>
      </c>
      <c r="L15" s="47">
        <v>3</v>
      </c>
      <c r="M15" s="47">
        <v>1</v>
      </c>
      <c r="N15" s="47">
        <v>0</v>
      </c>
      <c r="O15" s="48">
        <v>2</v>
      </c>
      <c r="P15" s="60">
        <v>2</v>
      </c>
      <c r="Q15" s="58">
        <v>2</v>
      </c>
      <c r="R15" s="58">
        <v>1</v>
      </c>
      <c r="S15" s="61">
        <v>1</v>
      </c>
      <c r="T15" s="76">
        <v>2</v>
      </c>
      <c r="U15" s="46">
        <v>3</v>
      </c>
      <c r="V15" s="47">
        <v>2</v>
      </c>
      <c r="W15" s="48">
        <v>0</v>
      </c>
      <c r="X15" s="57">
        <v>2</v>
      </c>
      <c r="Y15" s="58">
        <v>2</v>
      </c>
      <c r="Z15" s="61">
        <v>3</v>
      </c>
      <c r="AA15" s="46">
        <v>0</v>
      </c>
      <c r="AB15" s="47">
        <v>0</v>
      </c>
      <c r="AC15" s="47">
        <v>2</v>
      </c>
      <c r="AD15" s="47">
        <v>1</v>
      </c>
      <c r="AE15" s="47">
        <v>3</v>
      </c>
      <c r="AF15" s="48">
        <v>0</v>
      </c>
      <c r="AG15" s="57">
        <v>1</v>
      </c>
      <c r="AH15" s="58">
        <v>0</v>
      </c>
      <c r="AI15" s="58">
        <v>0</v>
      </c>
      <c r="AJ15" s="58">
        <v>0</v>
      </c>
      <c r="AK15" s="59">
        <v>1</v>
      </c>
      <c r="AL15" s="61">
        <v>2</v>
      </c>
      <c r="AM15" s="46">
        <v>0</v>
      </c>
      <c r="AN15" s="47">
        <v>4</v>
      </c>
      <c r="AO15" s="48">
        <v>1</v>
      </c>
      <c r="AP15" s="57">
        <v>0</v>
      </c>
      <c r="AQ15" s="58">
        <v>0</v>
      </c>
      <c r="AR15" s="58">
        <v>0</v>
      </c>
      <c r="AS15" s="61">
        <v>0</v>
      </c>
      <c r="AT15" s="62">
        <v>0</v>
      </c>
      <c r="AU15" s="47">
        <v>0</v>
      </c>
      <c r="AV15" s="79">
        <f t="shared" si="2"/>
        <v>56</v>
      </c>
      <c r="AW15" s="80">
        <f t="shared" si="3"/>
        <v>60.215053763440864</v>
      </c>
      <c r="AY15" s="83">
        <f t="shared" si="4"/>
        <v>6</v>
      </c>
      <c r="AZ15" s="83">
        <f t="shared" si="5"/>
        <v>85.714285714285708</v>
      </c>
      <c r="BA15" s="83">
        <f t="shared" si="6"/>
        <v>7</v>
      </c>
      <c r="BB15" s="83">
        <f t="shared" si="7"/>
        <v>100</v>
      </c>
      <c r="BC15" s="83">
        <f t="shared" si="8"/>
        <v>8</v>
      </c>
      <c r="BD15" s="83">
        <f t="shared" si="9"/>
        <v>61.53846153846154</v>
      </c>
      <c r="BE15" s="83">
        <f t="shared" si="10"/>
        <v>8</v>
      </c>
      <c r="BF15" s="83">
        <f t="shared" si="11"/>
        <v>88.888888888888886</v>
      </c>
      <c r="BG15" s="83">
        <f t="shared" si="12"/>
        <v>5</v>
      </c>
      <c r="BH15" s="83">
        <f t="shared" si="13"/>
        <v>71.428571428571431</v>
      </c>
      <c r="BI15" s="83">
        <f t="shared" si="14"/>
        <v>7</v>
      </c>
      <c r="BJ15" s="83">
        <f t="shared" si="15"/>
        <v>77.777777777777786</v>
      </c>
      <c r="BK15" s="83">
        <f t="shared" si="16"/>
        <v>6</v>
      </c>
      <c r="BL15" s="83">
        <f t="shared" si="17"/>
        <v>60</v>
      </c>
      <c r="BM15" s="83">
        <f t="shared" si="18"/>
        <v>4</v>
      </c>
      <c r="BN15" s="83">
        <f t="shared" si="19"/>
        <v>30.76923076923077</v>
      </c>
      <c r="BO15" s="83">
        <f t="shared" si="20"/>
        <v>5</v>
      </c>
      <c r="BP15" s="83">
        <f t="shared" si="21"/>
        <v>62.5</v>
      </c>
      <c r="BQ15" s="83">
        <f t="shared" si="22"/>
        <v>0</v>
      </c>
      <c r="BR15" s="83">
        <f t="shared" si="23"/>
        <v>0</v>
      </c>
      <c r="BS15" s="82">
        <f t="shared" si="24"/>
        <v>0</v>
      </c>
      <c r="BT15" s="81">
        <f t="shared" si="25"/>
        <v>0</v>
      </c>
      <c r="BW15" s="86">
        <f t="shared" si="0"/>
        <v>5</v>
      </c>
      <c r="BX15" s="86">
        <f t="shared" si="26"/>
        <v>50</v>
      </c>
      <c r="BY15" s="86">
        <f t="shared" si="1"/>
        <v>3</v>
      </c>
      <c r="BZ15" s="86">
        <f t="shared" si="27"/>
        <v>18.75</v>
      </c>
    </row>
    <row r="16" spans="1:78" x14ac:dyDescent="0.25">
      <c r="A16" s="6" t="s">
        <v>0</v>
      </c>
      <c r="B16" s="4" t="s">
        <v>21</v>
      </c>
      <c r="C16" s="7" t="s">
        <v>7</v>
      </c>
      <c r="D16" s="46">
        <v>1</v>
      </c>
      <c r="E16" s="47">
        <v>3</v>
      </c>
      <c r="F16" s="48">
        <v>0</v>
      </c>
      <c r="G16" s="57">
        <v>1</v>
      </c>
      <c r="H16" s="58">
        <v>1</v>
      </c>
      <c r="I16" s="59">
        <v>4</v>
      </c>
      <c r="J16" s="46">
        <v>1</v>
      </c>
      <c r="K16" s="47">
        <v>1</v>
      </c>
      <c r="L16" s="47">
        <v>3</v>
      </c>
      <c r="M16" s="47">
        <v>3</v>
      </c>
      <c r="N16" s="47">
        <v>1</v>
      </c>
      <c r="O16" s="48">
        <v>3</v>
      </c>
      <c r="P16" s="60">
        <v>2</v>
      </c>
      <c r="Q16" s="58">
        <v>2</v>
      </c>
      <c r="R16" s="58">
        <v>1</v>
      </c>
      <c r="S16" s="61">
        <v>1</v>
      </c>
      <c r="T16" s="76">
        <v>2</v>
      </c>
      <c r="U16" s="46">
        <v>3</v>
      </c>
      <c r="V16" s="47">
        <v>2</v>
      </c>
      <c r="W16" s="48">
        <v>2</v>
      </c>
      <c r="X16" s="57">
        <v>2</v>
      </c>
      <c r="Y16" s="58">
        <v>2</v>
      </c>
      <c r="Z16" s="61">
        <v>5</v>
      </c>
      <c r="AA16" s="46">
        <v>0</v>
      </c>
      <c r="AB16" s="47">
        <v>1</v>
      </c>
      <c r="AC16" s="47">
        <v>2</v>
      </c>
      <c r="AD16" s="47">
        <v>1</v>
      </c>
      <c r="AE16" s="47">
        <v>3</v>
      </c>
      <c r="AF16" s="48">
        <v>0</v>
      </c>
      <c r="AG16" s="57">
        <v>1</v>
      </c>
      <c r="AH16" s="58">
        <v>2</v>
      </c>
      <c r="AI16" s="58">
        <v>1</v>
      </c>
      <c r="AJ16" s="58">
        <v>1</v>
      </c>
      <c r="AK16" s="59">
        <v>1</v>
      </c>
      <c r="AL16" s="61">
        <v>3</v>
      </c>
      <c r="AM16" s="46">
        <v>1</v>
      </c>
      <c r="AN16" s="47">
        <v>2</v>
      </c>
      <c r="AO16" s="48">
        <v>0</v>
      </c>
      <c r="AP16" s="57">
        <v>0</v>
      </c>
      <c r="AQ16" s="58">
        <v>1</v>
      </c>
      <c r="AR16" s="58">
        <v>1</v>
      </c>
      <c r="AS16" s="61">
        <v>2</v>
      </c>
      <c r="AT16" s="62">
        <v>2</v>
      </c>
      <c r="AU16" s="47">
        <v>0</v>
      </c>
      <c r="AV16" s="79">
        <f t="shared" si="2"/>
        <v>71</v>
      </c>
      <c r="AW16" s="80">
        <f t="shared" si="3"/>
        <v>76.344086021505376</v>
      </c>
      <c r="AY16" s="83">
        <f t="shared" si="4"/>
        <v>5</v>
      </c>
      <c r="AZ16" s="83">
        <f t="shared" si="5"/>
        <v>71.428571428571431</v>
      </c>
      <c r="BA16" s="83">
        <f t="shared" si="6"/>
        <v>6</v>
      </c>
      <c r="BB16" s="83">
        <f t="shared" si="7"/>
        <v>85.714285714285708</v>
      </c>
      <c r="BC16" s="83">
        <f t="shared" si="8"/>
        <v>12</v>
      </c>
      <c r="BD16" s="83">
        <f t="shared" si="9"/>
        <v>92.307692307692307</v>
      </c>
      <c r="BE16" s="83">
        <f t="shared" si="10"/>
        <v>8</v>
      </c>
      <c r="BF16" s="83">
        <f t="shared" si="11"/>
        <v>88.888888888888886</v>
      </c>
      <c r="BG16" s="83">
        <f t="shared" si="12"/>
        <v>7</v>
      </c>
      <c r="BH16" s="83">
        <f t="shared" si="13"/>
        <v>100</v>
      </c>
      <c r="BI16" s="83">
        <f t="shared" si="14"/>
        <v>9</v>
      </c>
      <c r="BJ16" s="83">
        <f t="shared" si="15"/>
        <v>100</v>
      </c>
      <c r="BK16" s="83">
        <f t="shared" si="16"/>
        <v>7</v>
      </c>
      <c r="BL16" s="83">
        <f t="shared" si="17"/>
        <v>70</v>
      </c>
      <c r="BM16" s="83">
        <f t="shared" si="18"/>
        <v>9</v>
      </c>
      <c r="BN16" s="83">
        <f t="shared" si="19"/>
        <v>69.230769230769226</v>
      </c>
      <c r="BO16" s="83">
        <f t="shared" si="20"/>
        <v>3</v>
      </c>
      <c r="BP16" s="83">
        <f t="shared" si="21"/>
        <v>37.5</v>
      </c>
      <c r="BQ16" s="83">
        <f t="shared" si="22"/>
        <v>4</v>
      </c>
      <c r="BR16" s="83">
        <f t="shared" si="23"/>
        <v>80</v>
      </c>
      <c r="BS16" s="82">
        <f t="shared" si="24"/>
        <v>2</v>
      </c>
      <c r="BT16" s="81">
        <f t="shared" si="25"/>
        <v>33.333333333333329</v>
      </c>
      <c r="BW16" s="86">
        <f t="shared" si="0"/>
        <v>6</v>
      </c>
      <c r="BX16" s="86">
        <f t="shared" si="26"/>
        <v>60</v>
      </c>
      <c r="BY16" s="86">
        <f t="shared" si="1"/>
        <v>9</v>
      </c>
      <c r="BZ16" s="86">
        <f t="shared" si="27"/>
        <v>56.25</v>
      </c>
    </row>
    <row r="17" spans="1:78" x14ac:dyDescent="0.25">
      <c r="A17" s="6" t="s">
        <v>0</v>
      </c>
      <c r="B17" s="4" t="s">
        <v>22</v>
      </c>
      <c r="C17" s="7" t="s">
        <v>9</v>
      </c>
      <c r="D17" s="46">
        <v>1</v>
      </c>
      <c r="E17" s="47">
        <v>2</v>
      </c>
      <c r="F17" s="48">
        <v>2</v>
      </c>
      <c r="G17" s="57">
        <v>1</v>
      </c>
      <c r="H17" s="58">
        <v>2</v>
      </c>
      <c r="I17" s="59">
        <v>4</v>
      </c>
      <c r="J17" s="46">
        <v>1</v>
      </c>
      <c r="K17" s="47">
        <v>1</v>
      </c>
      <c r="L17" s="47">
        <v>3</v>
      </c>
      <c r="M17" s="47">
        <v>1</v>
      </c>
      <c r="N17" s="47">
        <v>1</v>
      </c>
      <c r="O17" s="48">
        <v>2</v>
      </c>
      <c r="P17" s="60">
        <v>2</v>
      </c>
      <c r="Q17" s="58">
        <v>2</v>
      </c>
      <c r="R17" s="58">
        <v>2</v>
      </c>
      <c r="S17" s="61">
        <v>1</v>
      </c>
      <c r="T17" s="76">
        <v>2</v>
      </c>
      <c r="U17" s="46">
        <v>3</v>
      </c>
      <c r="V17" s="47">
        <v>2</v>
      </c>
      <c r="W17" s="48">
        <v>0</v>
      </c>
      <c r="X17" s="57">
        <v>2</v>
      </c>
      <c r="Y17" s="58">
        <v>2</v>
      </c>
      <c r="Z17" s="61">
        <v>1</v>
      </c>
      <c r="AA17" s="46">
        <v>0</v>
      </c>
      <c r="AB17" s="47">
        <v>1</v>
      </c>
      <c r="AC17" s="47">
        <v>2</v>
      </c>
      <c r="AD17" s="47">
        <v>1</v>
      </c>
      <c r="AE17" s="47">
        <v>0</v>
      </c>
      <c r="AF17" s="48">
        <v>0</v>
      </c>
      <c r="AG17" s="57">
        <v>1</v>
      </c>
      <c r="AH17" s="58">
        <v>2</v>
      </c>
      <c r="AI17" s="58">
        <v>1</v>
      </c>
      <c r="AJ17" s="58">
        <v>1</v>
      </c>
      <c r="AK17" s="59">
        <v>1</v>
      </c>
      <c r="AL17" s="61">
        <v>3</v>
      </c>
      <c r="AM17" s="46">
        <v>1</v>
      </c>
      <c r="AN17" s="47">
        <v>3</v>
      </c>
      <c r="AO17" s="48">
        <v>1</v>
      </c>
      <c r="AP17" s="57">
        <v>1</v>
      </c>
      <c r="AQ17" s="58">
        <v>0</v>
      </c>
      <c r="AR17" s="58">
        <v>0</v>
      </c>
      <c r="AS17" s="61">
        <v>1</v>
      </c>
      <c r="AT17" s="62">
        <v>2</v>
      </c>
      <c r="AU17" s="47">
        <v>0</v>
      </c>
      <c r="AV17" s="79">
        <f t="shared" si="2"/>
        <v>62</v>
      </c>
      <c r="AW17" s="80">
        <f t="shared" si="3"/>
        <v>66.666666666666657</v>
      </c>
      <c r="AY17" s="83">
        <f t="shared" si="4"/>
        <v>6</v>
      </c>
      <c r="AZ17" s="83">
        <f t="shared" si="5"/>
        <v>85.714285714285708</v>
      </c>
      <c r="BA17" s="83">
        <f t="shared" si="6"/>
        <v>7</v>
      </c>
      <c r="BB17" s="83">
        <f t="shared" si="7"/>
        <v>100</v>
      </c>
      <c r="BC17" s="83">
        <f t="shared" si="8"/>
        <v>9</v>
      </c>
      <c r="BD17" s="83">
        <f t="shared" si="9"/>
        <v>69.230769230769226</v>
      </c>
      <c r="BE17" s="83">
        <f t="shared" si="10"/>
        <v>9</v>
      </c>
      <c r="BF17" s="83">
        <f t="shared" si="11"/>
        <v>100</v>
      </c>
      <c r="BG17" s="83">
        <f t="shared" si="12"/>
        <v>5</v>
      </c>
      <c r="BH17" s="83">
        <f t="shared" si="13"/>
        <v>71.428571428571431</v>
      </c>
      <c r="BI17" s="83">
        <f t="shared" si="14"/>
        <v>5</v>
      </c>
      <c r="BJ17" s="83">
        <f t="shared" si="15"/>
        <v>55.555555555555557</v>
      </c>
      <c r="BK17" s="83">
        <f t="shared" si="16"/>
        <v>4</v>
      </c>
      <c r="BL17" s="83">
        <f t="shared" si="17"/>
        <v>40</v>
      </c>
      <c r="BM17" s="83">
        <f t="shared" si="18"/>
        <v>9</v>
      </c>
      <c r="BN17" s="83">
        <f t="shared" si="19"/>
        <v>69.230769230769226</v>
      </c>
      <c r="BO17" s="83">
        <f t="shared" si="20"/>
        <v>5</v>
      </c>
      <c r="BP17" s="83">
        <f t="shared" si="21"/>
        <v>62.5</v>
      </c>
      <c r="BQ17" s="83">
        <f t="shared" si="22"/>
        <v>2</v>
      </c>
      <c r="BR17" s="83">
        <f t="shared" si="23"/>
        <v>40</v>
      </c>
      <c r="BS17" s="82">
        <f t="shared" si="24"/>
        <v>2</v>
      </c>
      <c r="BT17" s="81">
        <f t="shared" si="25"/>
        <v>33.333333333333329</v>
      </c>
      <c r="BW17" s="86">
        <f t="shared" si="0"/>
        <v>7</v>
      </c>
      <c r="BX17" s="86">
        <f t="shared" si="26"/>
        <v>70</v>
      </c>
      <c r="BY17" s="86">
        <f t="shared" si="1"/>
        <v>6</v>
      </c>
      <c r="BZ17" s="86">
        <f t="shared" si="27"/>
        <v>37.5</v>
      </c>
    </row>
    <row r="18" spans="1:78" x14ac:dyDescent="0.25">
      <c r="A18" s="6" t="s">
        <v>0</v>
      </c>
      <c r="B18" s="4" t="s">
        <v>23</v>
      </c>
      <c r="C18" s="7" t="s">
        <v>20</v>
      </c>
      <c r="D18" s="46">
        <v>1</v>
      </c>
      <c r="E18" s="47">
        <v>3</v>
      </c>
      <c r="F18" s="48">
        <v>2</v>
      </c>
      <c r="G18" s="57">
        <v>1</v>
      </c>
      <c r="H18" s="58">
        <v>0</v>
      </c>
      <c r="I18" s="59">
        <v>4</v>
      </c>
      <c r="J18" s="46">
        <v>1</v>
      </c>
      <c r="K18" s="47">
        <v>1</v>
      </c>
      <c r="L18" s="47">
        <v>3</v>
      </c>
      <c r="M18" s="47">
        <v>0</v>
      </c>
      <c r="N18" s="47">
        <v>3</v>
      </c>
      <c r="O18" s="48">
        <v>2</v>
      </c>
      <c r="P18" s="60">
        <v>2</v>
      </c>
      <c r="Q18" s="58">
        <v>2</v>
      </c>
      <c r="R18" s="58">
        <v>1</v>
      </c>
      <c r="S18" s="61">
        <v>1</v>
      </c>
      <c r="T18" s="76">
        <v>2</v>
      </c>
      <c r="U18" s="46">
        <v>3</v>
      </c>
      <c r="V18" s="47">
        <v>2</v>
      </c>
      <c r="W18" s="48">
        <v>1</v>
      </c>
      <c r="X18" s="57">
        <v>2</v>
      </c>
      <c r="Y18" s="58">
        <v>2</v>
      </c>
      <c r="Z18" s="61">
        <v>0</v>
      </c>
      <c r="AA18" s="46">
        <v>0</v>
      </c>
      <c r="AB18" s="47">
        <v>0</v>
      </c>
      <c r="AC18" s="47">
        <v>2</v>
      </c>
      <c r="AD18" s="47">
        <v>1</v>
      </c>
      <c r="AE18" s="47">
        <v>3</v>
      </c>
      <c r="AF18" s="48">
        <v>0</v>
      </c>
      <c r="AG18" s="57">
        <v>1</v>
      </c>
      <c r="AH18" s="58">
        <v>2</v>
      </c>
      <c r="AI18" s="58">
        <v>0</v>
      </c>
      <c r="AJ18" s="58">
        <v>0</v>
      </c>
      <c r="AK18" s="59">
        <v>0</v>
      </c>
      <c r="AL18" s="61">
        <v>2</v>
      </c>
      <c r="AM18" s="46">
        <v>1</v>
      </c>
      <c r="AN18" s="47">
        <v>1</v>
      </c>
      <c r="AO18" s="48">
        <v>0</v>
      </c>
      <c r="AP18" s="57">
        <v>0</v>
      </c>
      <c r="AQ18" s="58">
        <v>0</v>
      </c>
      <c r="AR18" s="58">
        <v>1</v>
      </c>
      <c r="AS18" s="61">
        <v>2</v>
      </c>
      <c r="AT18" s="62">
        <v>0</v>
      </c>
      <c r="AU18" s="47">
        <v>0</v>
      </c>
      <c r="AV18" s="79">
        <f t="shared" si="2"/>
        <v>55</v>
      </c>
      <c r="AW18" s="80">
        <f t="shared" si="3"/>
        <v>59.13978494623656</v>
      </c>
      <c r="AY18" s="83">
        <f t="shared" si="4"/>
        <v>7</v>
      </c>
      <c r="AZ18" s="83">
        <f t="shared" si="5"/>
        <v>100</v>
      </c>
      <c r="BA18" s="83">
        <f t="shared" si="6"/>
        <v>5</v>
      </c>
      <c r="BB18" s="83">
        <f t="shared" si="7"/>
        <v>71.428571428571431</v>
      </c>
      <c r="BC18" s="83">
        <f t="shared" si="8"/>
        <v>10</v>
      </c>
      <c r="BD18" s="83">
        <f t="shared" si="9"/>
        <v>76.923076923076934</v>
      </c>
      <c r="BE18" s="83">
        <f t="shared" si="10"/>
        <v>8</v>
      </c>
      <c r="BF18" s="83">
        <f t="shared" si="11"/>
        <v>88.888888888888886</v>
      </c>
      <c r="BG18" s="83">
        <f t="shared" si="12"/>
        <v>6</v>
      </c>
      <c r="BH18" s="83">
        <f t="shared" si="13"/>
        <v>85.714285714285708</v>
      </c>
      <c r="BI18" s="83">
        <f t="shared" si="14"/>
        <v>4</v>
      </c>
      <c r="BJ18" s="83">
        <f t="shared" si="15"/>
        <v>44.444444444444443</v>
      </c>
      <c r="BK18" s="83">
        <f t="shared" si="16"/>
        <v>6</v>
      </c>
      <c r="BL18" s="83">
        <f t="shared" si="17"/>
        <v>60</v>
      </c>
      <c r="BM18" s="83">
        <f t="shared" si="18"/>
        <v>5</v>
      </c>
      <c r="BN18" s="83">
        <f t="shared" si="19"/>
        <v>38.461538461538467</v>
      </c>
      <c r="BO18" s="83">
        <f t="shared" si="20"/>
        <v>2</v>
      </c>
      <c r="BP18" s="83">
        <f t="shared" si="21"/>
        <v>25</v>
      </c>
      <c r="BQ18" s="83">
        <f t="shared" si="22"/>
        <v>3</v>
      </c>
      <c r="BR18" s="83">
        <f t="shared" si="23"/>
        <v>60</v>
      </c>
      <c r="BS18" s="82">
        <f t="shared" si="24"/>
        <v>0</v>
      </c>
      <c r="BT18" s="81">
        <f t="shared" si="25"/>
        <v>0</v>
      </c>
      <c r="BW18" s="86">
        <f t="shared" si="0"/>
        <v>5</v>
      </c>
      <c r="BX18" s="86">
        <f t="shared" si="26"/>
        <v>50</v>
      </c>
      <c r="BY18" s="86">
        <f t="shared" si="1"/>
        <v>5</v>
      </c>
      <c r="BZ18" s="86">
        <f t="shared" si="27"/>
        <v>31.25</v>
      </c>
    </row>
    <row r="19" spans="1:78" x14ac:dyDescent="0.25">
      <c r="A19" s="6" t="s">
        <v>0</v>
      </c>
      <c r="B19" s="4" t="s">
        <v>42</v>
      </c>
      <c r="C19" s="7" t="s">
        <v>7</v>
      </c>
      <c r="D19" s="46"/>
      <c r="E19" s="47"/>
      <c r="F19" s="48"/>
      <c r="G19" s="57"/>
      <c r="H19" s="58"/>
      <c r="I19" s="59"/>
      <c r="J19" s="46"/>
      <c r="K19" s="47"/>
      <c r="L19" s="47"/>
      <c r="M19" s="47"/>
      <c r="N19" s="47"/>
      <c r="O19" s="48"/>
      <c r="P19" s="60"/>
      <c r="Q19" s="58"/>
      <c r="R19" s="58"/>
      <c r="S19" s="61"/>
      <c r="T19" s="76"/>
      <c r="U19" s="46"/>
      <c r="V19" s="47"/>
      <c r="W19" s="48"/>
      <c r="X19" s="57"/>
      <c r="Y19" s="58"/>
      <c r="Z19" s="61"/>
      <c r="AA19" s="46"/>
      <c r="AB19" s="47"/>
      <c r="AC19" s="47"/>
      <c r="AD19" s="47"/>
      <c r="AE19" s="47"/>
      <c r="AF19" s="48"/>
      <c r="AG19" s="57"/>
      <c r="AH19" s="58"/>
      <c r="AI19" s="58"/>
      <c r="AJ19" s="58"/>
      <c r="AK19" s="59"/>
      <c r="AL19" s="61"/>
      <c r="AM19" s="46"/>
      <c r="AN19" s="47"/>
      <c r="AO19" s="48"/>
      <c r="AP19" s="57"/>
      <c r="AQ19" s="58"/>
      <c r="AR19" s="58"/>
      <c r="AS19" s="61"/>
      <c r="AT19" s="62"/>
      <c r="AU19" s="47"/>
      <c r="AV19" s="79">
        <f t="shared" si="2"/>
        <v>0</v>
      </c>
      <c r="AW19" s="80">
        <f t="shared" si="3"/>
        <v>0</v>
      </c>
      <c r="AY19" s="83">
        <f t="shared" si="4"/>
        <v>0</v>
      </c>
      <c r="AZ19" s="83">
        <f t="shared" si="5"/>
        <v>0</v>
      </c>
      <c r="BA19" s="83">
        <f t="shared" si="6"/>
        <v>0</v>
      </c>
      <c r="BB19" s="83">
        <f t="shared" si="7"/>
        <v>0</v>
      </c>
      <c r="BC19" s="83">
        <f t="shared" si="8"/>
        <v>0</v>
      </c>
      <c r="BD19" s="83">
        <f t="shared" si="9"/>
        <v>0</v>
      </c>
      <c r="BE19" s="83">
        <f t="shared" si="10"/>
        <v>0</v>
      </c>
      <c r="BF19" s="83">
        <f t="shared" si="11"/>
        <v>0</v>
      </c>
      <c r="BG19" s="83">
        <f t="shared" si="12"/>
        <v>0</v>
      </c>
      <c r="BH19" s="83">
        <f t="shared" si="13"/>
        <v>0</v>
      </c>
      <c r="BI19" s="83">
        <f t="shared" si="14"/>
        <v>0</v>
      </c>
      <c r="BJ19" s="83">
        <f t="shared" si="15"/>
        <v>0</v>
      </c>
      <c r="BK19" s="83">
        <f t="shared" si="16"/>
        <v>0</v>
      </c>
      <c r="BL19" s="83">
        <f t="shared" si="17"/>
        <v>0</v>
      </c>
      <c r="BM19" s="83">
        <f t="shared" si="18"/>
        <v>0</v>
      </c>
      <c r="BN19" s="83">
        <f t="shared" si="19"/>
        <v>0</v>
      </c>
      <c r="BO19" s="83">
        <f t="shared" si="20"/>
        <v>0</v>
      </c>
      <c r="BP19" s="83">
        <f t="shared" si="21"/>
        <v>0</v>
      </c>
      <c r="BQ19" s="83">
        <f t="shared" si="22"/>
        <v>0</v>
      </c>
      <c r="BR19" s="83">
        <f t="shared" si="23"/>
        <v>0</v>
      </c>
      <c r="BS19" s="82">
        <f t="shared" si="24"/>
        <v>0</v>
      </c>
      <c r="BT19" s="81">
        <f t="shared" si="25"/>
        <v>0</v>
      </c>
      <c r="BW19" s="86">
        <f t="shared" si="0"/>
        <v>0</v>
      </c>
      <c r="BX19" s="86">
        <f t="shared" si="26"/>
        <v>0</v>
      </c>
      <c r="BY19" s="86">
        <f t="shared" si="1"/>
        <v>0</v>
      </c>
      <c r="BZ19" s="86">
        <f t="shared" si="27"/>
        <v>0</v>
      </c>
    </row>
    <row r="20" spans="1:78" x14ac:dyDescent="0.25">
      <c r="A20" s="6" t="s">
        <v>0</v>
      </c>
      <c r="B20" s="4" t="s">
        <v>24</v>
      </c>
      <c r="C20" s="7" t="s">
        <v>18</v>
      </c>
      <c r="D20" s="46">
        <v>1</v>
      </c>
      <c r="E20" s="47">
        <v>3</v>
      </c>
      <c r="F20" s="48">
        <v>0</v>
      </c>
      <c r="G20" s="57">
        <v>1</v>
      </c>
      <c r="H20" s="58">
        <v>2</v>
      </c>
      <c r="I20" s="59">
        <v>4</v>
      </c>
      <c r="J20" s="46">
        <v>2</v>
      </c>
      <c r="K20" s="47">
        <v>1</v>
      </c>
      <c r="L20" s="47">
        <v>3</v>
      </c>
      <c r="M20" s="47">
        <v>3</v>
      </c>
      <c r="N20" s="47">
        <v>1</v>
      </c>
      <c r="O20" s="48">
        <v>3</v>
      </c>
      <c r="P20" s="60">
        <v>0</v>
      </c>
      <c r="Q20" s="58">
        <v>1</v>
      </c>
      <c r="R20" s="58">
        <v>2</v>
      </c>
      <c r="S20" s="61">
        <v>1</v>
      </c>
      <c r="T20" s="76">
        <v>2</v>
      </c>
      <c r="U20" s="46">
        <v>3</v>
      </c>
      <c r="V20" s="47">
        <v>2</v>
      </c>
      <c r="W20" s="48">
        <v>0</v>
      </c>
      <c r="X20" s="57">
        <v>2</v>
      </c>
      <c r="Y20" s="58">
        <v>1</v>
      </c>
      <c r="Z20" s="61">
        <v>3</v>
      </c>
      <c r="AA20" s="46">
        <v>1</v>
      </c>
      <c r="AB20" s="47">
        <v>1</v>
      </c>
      <c r="AC20" s="47">
        <v>2</v>
      </c>
      <c r="AD20" s="47">
        <v>1</v>
      </c>
      <c r="AE20" s="47">
        <v>3</v>
      </c>
      <c r="AF20" s="48">
        <v>0</v>
      </c>
      <c r="AG20" s="57">
        <v>1</v>
      </c>
      <c r="AH20" s="58">
        <v>1</v>
      </c>
      <c r="AI20" s="58">
        <v>1</v>
      </c>
      <c r="AJ20" s="58">
        <v>2</v>
      </c>
      <c r="AK20" s="59">
        <v>1</v>
      </c>
      <c r="AL20" s="61">
        <v>2</v>
      </c>
      <c r="AM20" s="46">
        <v>1</v>
      </c>
      <c r="AN20" s="47">
        <v>0</v>
      </c>
      <c r="AO20" s="48">
        <v>1</v>
      </c>
      <c r="AP20" s="57">
        <v>1</v>
      </c>
      <c r="AQ20" s="58">
        <v>0</v>
      </c>
      <c r="AR20" s="58">
        <v>1</v>
      </c>
      <c r="AS20" s="61">
        <v>0</v>
      </c>
      <c r="AT20" s="62">
        <v>2</v>
      </c>
      <c r="AU20" s="47">
        <v>0</v>
      </c>
      <c r="AV20" s="79">
        <f t="shared" si="2"/>
        <v>63</v>
      </c>
      <c r="AW20" s="80">
        <f t="shared" si="3"/>
        <v>67.741935483870961</v>
      </c>
      <c r="AY20" s="83">
        <f t="shared" si="4"/>
        <v>5</v>
      </c>
      <c r="AZ20" s="83">
        <f t="shared" si="5"/>
        <v>71.428571428571431</v>
      </c>
      <c r="BA20" s="83">
        <f t="shared" si="6"/>
        <v>7</v>
      </c>
      <c r="BB20" s="83">
        <f t="shared" si="7"/>
        <v>100</v>
      </c>
      <c r="BC20" s="83">
        <f t="shared" si="8"/>
        <v>13</v>
      </c>
      <c r="BD20" s="83">
        <f t="shared" si="9"/>
        <v>100</v>
      </c>
      <c r="BE20" s="83">
        <f t="shared" si="10"/>
        <v>6</v>
      </c>
      <c r="BF20" s="83">
        <f t="shared" si="11"/>
        <v>66.666666666666657</v>
      </c>
      <c r="BG20" s="83">
        <f t="shared" si="12"/>
        <v>5</v>
      </c>
      <c r="BH20" s="83">
        <f t="shared" si="13"/>
        <v>71.428571428571431</v>
      </c>
      <c r="BI20" s="83">
        <f t="shared" si="14"/>
        <v>6</v>
      </c>
      <c r="BJ20" s="83">
        <f t="shared" si="15"/>
        <v>66.666666666666657</v>
      </c>
      <c r="BK20" s="83">
        <f t="shared" si="16"/>
        <v>8</v>
      </c>
      <c r="BL20" s="83">
        <f t="shared" si="17"/>
        <v>80</v>
      </c>
      <c r="BM20" s="83">
        <f t="shared" si="18"/>
        <v>8</v>
      </c>
      <c r="BN20" s="83">
        <f t="shared" si="19"/>
        <v>61.53846153846154</v>
      </c>
      <c r="BO20" s="83">
        <f t="shared" si="20"/>
        <v>2</v>
      </c>
      <c r="BP20" s="83">
        <f t="shared" si="21"/>
        <v>25</v>
      </c>
      <c r="BQ20" s="83">
        <f t="shared" si="22"/>
        <v>2</v>
      </c>
      <c r="BR20" s="83">
        <f t="shared" si="23"/>
        <v>40</v>
      </c>
      <c r="BS20" s="82">
        <f t="shared" si="24"/>
        <v>2</v>
      </c>
      <c r="BT20" s="81">
        <f t="shared" si="25"/>
        <v>33.333333333333329</v>
      </c>
      <c r="BW20" s="86">
        <f t="shared" si="0"/>
        <v>9</v>
      </c>
      <c r="BX20" s="86">
        <f t="shared" si="26"/>
        <v>90</v>
      </c>
      <c r="BY20" s="86">
        <f t="shared" si="1"/>
        <v>7</v>
      </c>
      <c r="BZ20" s="86">
        <f t="shared" si="27"/>
        <v>43.75</v>
      </c>
    </row>
    <row r="21" spans="1:78" x14ac:dyDescent="0.25">
      <c r="A21" s="5" t="s">
        <v>26</v>
      </c>
      <c r="B21" s="4" t="s">
        <v>27</v>
      </c>
      <c r="C21" s="7" t="s">
        <v>7</v>
      </c>
      <c r="D21" s="46">
        <v>1</v>
      </c>
      <c r="E21" s="47">
        <v>3</v>
      </c>
      <c r="F21" s="48">
        <v>2</v>
      </c>
      <c r="G21" s="57">
        <v>1</v>
      </c>
      <c r="H21" s="58">
        <v>2</v>
      </c>
      <c r="I21" s="59">
        <v>4</v>
      </c>
      <c r="J21" s="46">
        <v>2</v>
      </c>
      <c r="K21" s="47">
        <v>1</v>
      </c>
      <c r="L21" s="47">
        <v>3</v>
      </c>
      <c r="M21" s="47">
        <v>3</v>
      </c>
      <c r="N21" s="47">
        <v>0</v>
      </c>
      <c r="O21" s="48">
        <v>1</v>
      </c>
      <c r="P21" s="60">
        <v>2</v>
      </c>
      <c r="Q21" s="58">
        <v>2</v>
      </c>
      <c r="R21" s="58">
        <v>1</v>
      </c>
      <c r="S21" s="61">
        <v>1</v>
      </c>
      <c r="T21" s="76">
        <v>2</v>
      </c>
      <c r="U21" s="46">
        <v>3</v>
      </c>
      <c r="V21" s="47">
        <v>2</v>
      </c>
      <c r="W21" s="48">
        <v>2</v>
      </c>
      <c r="X21" s="57">
        <v>2</v>
      </c>
      <c r="Y21" s="58">
        <v>1</v>
      </c>
      <c r="Z21" s="61">
        <v>3</v>
      </c>
      <c r="AA21" s="46">
        <v>1</v>
      </c>
      <c r="AB21" s="47">
        <v>1</v>
      </c>
      <c r="AC21" s="47">
        <v>2</v>
      </c>
      <c r="AD21" s="47">
        <v>1</v>
      </c>
      <c r="AE21" s="47">
        <v>3</v>
      </c>
      <c r="AF21" s="48">
        <v>2</v>
      </c>
      <c r="AG21" s="57">
        <v>1</v>
      </c>
      <c r="AH21" s="58">
        <v>3</v>
      </c>
      <c r="AI21" s="58">
        <v>1</v>
      </c>
      <c r="AJ21" s="58">
        <v>2</v>
      </c>
      <c r="AK21" s="59">
        <v>1</v>
      </c>
      <c r="AL21" s="61">
        <v>3</v>
      </c>
      <c r="AM21" s="46">
        <v>1</v>
      </c>
      <c r="AN21" s="47">
        <v>4</v>
      </c>
      <c r="AO21" s="48">
        <v>0</v>
      </c>
      <c r="AP21" s="57">
        <v>1</v>
      </c>
      <c r="AQ21" s="58">
        <v>0</v>
      </c>
      <c r="AR21" s="58">
        <v>1</v>
      </c>
      <c r="AS21" s="61">
        <v>0</v>
      </c>
      <c r="AT21" s="62">
        <v>2</v>
      </c>
      <c r="AU21" s="47">
        <v>0</v>
      </c>
      <c r="AV21" s="79">
        <f t="shared" si="2"/>
        <v>74</v>
      </c>
      <c r="AW21" s="80">
        <f t="shared" si="3"/>
        <v>79.569892473118273</v>
      </c>
      <c r="AY21" s="83">
        <f t="shared" si="4"/>
        <v>7</v>
      </c>
      <c r="AZ21" s="83">
        <f t="shared" si="5"/>
        <v>100</v>
      </c>
      <c r="BA21" s="83">
        <f t="shared" si="6"/>
        <v>7</v>
      </c>
      <c r="BB21" s="83">
        <f t="shared" si="7"/>
        <v>100</v>
      </c>
      <c r="BC21" s="83">
        <f t="shared" si="8"/>
        <v>10</v>
      </c>
      <c r="BD21" s="83">
        <f t="shared" si="9"/>
        <v>76.923076923076934</v>
      </c>
      <c r="BE21" s="83">
        <f t="shared" si="10"/>
        <v>8</v>
      </c>
      <c r="BF21" s="83">
        <f t="shared" si="11"/>
        <v>88.888888888888886</v>
      </c>
      <c r="BG21" s="83">
        <f t="shared" si="12"/>
        <v>7</v>
      </c>
      <c r="BH21" s="83">
        <f t="shared" si="13"/>
        <v>100</v>
      </c>
      <c r="BI21" s="83">
        <f t="shared" si="14"/>
        <v>6</v>
      </c>
      <c r="BJ21" s="83">
        <f t="shared" si="15"/>
        <v>66.666666666666657</v>
      </c>
      <c r="BK21" s="83">
        <f t="shared" si="16"/>
        <v>10</v>
      </c>
      <c r="BL21" s="83">
        <f t="shared" si="17"/>
        <v>100</v>
      </c>
      <c r="BM21" s="83">
        <f t="shared" si="18"/>
        <v>11</v>
      </c>
      <c r="BN21" s="83">
        <f t="shared" si="19"/>
        <v>84.615384615384613</v>
      </c>
      <c r="BO21" s="83">
        <f t="shared" si="20"/>
        <v>5</v>
      </c>
      <c r="BP21" s="83">
        <f t="shared" si="21"/>
        <v>62.5</v>
      </c>
      <c r="BQ21" s="83">
        <f t="shared" si="22"/>
        <v>2</v>
      </c>
      <c r="BR21" s="83">
        <f t="shared" si="23"/>
        <v>40</v>
      </c>
      <c r="BS21" s="82">
        <f t="shared" si="24"/>
        <v>2</v>
      </c>
      <c r="BT21" s="81">
        <f t="shared" si="25"/>
        <v>33.333333333333329</v>
      </c>
      <c r="BW21" s="86">
        <f t="shared" si="0"/>
        <v>9</v>
      </c>
      <c r="BX21" s="86">
        <f t="shared" si="26"/>
        <v>90</v>
      </c>
      <c r="BY21" s="86">
        <f t="shared" si="1"/>
        <v>8</v>
      </c>
      <c r="BZ21" s="86">
        <f t="shared" si="27"/>
        <v>50</v>
      </c>
    </row>
    <row r="22" spans="1:78" x14ac:dyDescent="0.25">
      <c r="A22" s="5" t="s">
        <v>26</v>
      </c>
      <c r="B22" s="4" t="s">
        <v>28</v>
      </c>
      <c r="C22" s="7" t="s">
        <v>40</v>
      </c>
      <c r="D22" s="46">
        <v>1</v>
      </c>
      <c r="E22" s="47">
        <v>0</v>
      </c>
      <c r="F22" s="48">
        <v>2</v>
      </c>
      <c r="G22" s="57">
        <v>1</v>
      </c>
      <c r="H22" s="58">
        <v>2</v>
      </c>
      <c r="I22" s="59">
        <v>4</v>
      </c>
      <c r="J22" s="46">
        <v>2</v>
      </c>
      <c r="K22" s="47">
        <v>1</v>
      </c>
      <c r="L22" s="47">
        <v>3</v>
      </c>
      <c r="M22" s="47">
        <v>3</v>
      </c>
      <c r="N22" s="47">
        <v>1</v>
      </c>
      <c r="O22" s="48">
        <v>2</v>
      </c>
      <c r="P22" s="60">
        <v>2</v>
      </c>
      <c r="Q22" s="58">
        <v>2</v>
      </c>
      <c r="R22" s="58">
        <v>1</v>
      </c>
      <c r="S22" s="61">
        <v>1</v>
      </c>
      <c r="T22" s="76">
        <v>2</v>
      </c>
      <c r="U22" s="46">
        <v>3</v>
      </c>
      <c r="V22" s="47">
        <v>2</v>
      </c>
      <c r="W22" s="48">
        <v>0</v>
      </c>
      <c r="X22" s="57">
        <v>2</v>
      </c>
      <c r="Y22" s="58">
        <v>2</v>
      </c>
      <c r="Z22" s="61">
        <v>5</v>
      </c>
      <c r="AA22" s="46">
        <v>1</v>
      </c>
      <c r="AB22" s="47">
        <v>1</v>
      </c>
      <c r="AC22" s="47">
        <v>2</v>
      </c>
      <c r="AD22" s="47">
        <v>1</v>
      </c>
      <c r="AE22" s="47">
        <v>0</v>
      </c>
      <c r="AF22" s="48">
        <v>2</v>
      </c>
      <c r="AG22" s="57">
        <v>1</v>
      </c>
      <c r="AH22" s="58">
        <v>2</v>
      </c>
      <c r="AI22" s="58">
        <v>1</v>
      </c>
      <c r="AJ22" s="58">
        <v>2</v>
      </c>
      <c r="AK22" s="59">
        <v>1</v>
      </c>
      <c r="AL22" s="61">
        <v>2</v>
      </c>
      <c r="AM22" s="46">
        <v>1</v>
      </c>
      <c r="AN22" s="47">
        <v>4</v>
      </c>
      <c r="AO22" s="48">
        <v>2</v>
      </c>
      <c r="AP22" s="57">
        <v>1</v>
      </c>
      <c r="AQ22" s="58">
        <v>1</v>
      </c>
      <c r="AR22" s="58">
        <v>1</v>
      </c>
      <c r="AS22" s="61">
        <v>2</v>
      </c>
      <c r="AT22" s="62">
        <v>0</v>
      </c>
      <c r="AU22" s="47">
        <v>0</v>
      </c>
      <c r="AV22" s="79">
        <f t="shared" si="2"/>
        <v>72</v>
      </c>
      <c r="AW22" s="80">
        <f t="shared" si="3"/>
        <v>77.41935483870968</v>
      </c>
      <c r="AY22" s="83">
        <f t="shared" si="4"/>
        <v>4</v>
      </c>
      <c r="AZ22" s="83">
        <f t="shared" si="5"/>
        <v>57.142857142857139</v>
      </c>
      <c r="BA22" s="83">
        <f t="shared" si="6"/>
        <v>7</v>
      </c>
      <c r="BB22" s="83">
        <f t="shared" si="7"/>
        <v>100</v>
      </c>
      <c r="BC22" s="83">
        <f t="shared" si="8"/>
        <v>12</v>
      </c>
      <c r="BD22" s="83">
        <f t="shared" si="9"/>
        <v>92.307692307692307</v>
      </c>
      <c r="BE22" s="83">
        <f t="shared" si="10"/>
        <v>8</v>
      </c>
      <c r="BF22" s="83">
        <f t="shared" si="11"/>
        <v>88.888888888888886</v>
      </c>
      <c r="BG22" s="83">
        <f t="shared" si="12"/>
        <v>5</v>
      </c>
      <c r="BH22" s="83">
        <f t="shared" si="13"/>
        <v>71.428571428571431</v>
      </c>
      <c r="BI22" s="83">
        <f t="shared" si="14"/>
        <v>9</v>
      </c>
      <c r="BJ22" s="83">
        <f t="shared" si="15"/>
        <v>100</v>
      </c>
      <c r="BK22" s="83">
        <f t="shared" si="16"/>
        <v>7</v>
      </c>
      <c r="BL22" s="83">
        <f t="shared" si="17"/>
        <v>70</v>
      </c>
      <c r="BM22" s="83">
        <f t="shared" si="18"/>
        <v>9</v>
      </c>
      <c r="BN22" s="83">
        <f t="shared" si="19"/>
        <v>69.230769230769226</v>
      </c>
      <c r="BO22" s="83">
        <f t="shared" si="20"/>
        <v>7</v>
      </c>
      <c r="BP22" s="83">
        <f t="shared" si="21"/>
        <v>87.5</v>
      </c>
      <c r="BQ22" s="83">
        <f t="shared" si="22"/>
        <v>5</v>
      </c>
      <c r="BR22" s="83">
        <f t="shared" si="23"/>
        <v>100</v>
      </c>
      <c r="BS22" s="82">
        <f t="shared" si="24"/>
        <v>0</v>
      </c>
      <c r="BT22" s="81">
        <f t="shared" si="25"/>
        <v>0</v>
      </c>
      <c r="BW22" s="86">
        <f t="shared" si="0"/>
        <v>9</v>
      </c>
      <c r="BX22" s="86">
        <f t="shared" si="26"/>
        <v>90</v>
      </c>
      <c r="BY22" s="86">
        <f t="shared" si="1"/>
        <v>9</v>
      </c>
      <c r="BZ22" s="86">
        <f t="shared" si="27"/>
        <v>56.25</v>
      </c>
    </row>
    <row r="23" spans="1:78" x14ac:dyDescent="0.25">
      <c r="A23" s="5" t="s">
        <v>26</v>
      </c>
      <c r="B23" s="4" t="s">
        <v>29</v>
      </c>
      <c r="C23" s="7" t="s">
        <v>18</v>
      </c>
      <c r="D23" s="46">
        <v>0</v>
      </c>
      <c r="E23" s="47">
        <v>2</v>
      </c>
      <c r="F23" s="48">
        <v>1</v>
      </c>
      <c r="G23" s="57">
        <v>1</v>
      </c>
      <c r="H23" s="58">
        <v>1</v>
      </c>
      <c r="I23" s="59">
        <v>4</v>
      </c>
      <c r="J23" s="46">
        <v>1</v>
      </c>
      <c r="K23" s="47">
        <v>0</v>
      </c>
      <c r="L23" s="47">
        <v>3</v>
      </c>
      <c r="M23" s="47">
        <v>3</v>
      </c>
      <c r="N23" s="47">
        <v>1</v>
      </c>
      <c r="O23" s="48">
        <v>2</v>
      </c>
      <c r="P23" s="60">
        <v>2</v>
      </c>
      <c r="Q23" s="58">
        <v>1</v>
      </c>
      <c r="R23" s="58">
        <v>0</v>
      </c>
      <c r="S23" s="61">
        <v>1</v>
      </c>
      <c r="T23" s="76">
        <v>1</v>
      </c>
      <c r="U23" s="46">
        <v>3</v>
      </c>
      <c r="V23" s="47">
        <v>2</v>
      </c>
      <c r="W23" s="48">
        <v>2</v>
      </c>
      <c r="X23" s="57">
        <v>2</v>
      </c>
      <c r="Y23" s="58">
        <v>2</v>
      </c>
      <c r="Z23" s="61">
        <v>0</v>
      </c>
      <c r="AA23" s="46">
        <v>1</v>
      </c>
      <c r="AB23" s="47">
        <v>0</v>
      </c>
      <c r="AC23" s="47">
        <v>0</v>
      </c>
      <c r="AD23" s="47">
        <v>0</v>
      </c>
      <c r="AE23" s="47">
        <v>3</v>
      </c>
      <c r="AF23" s="48">
        <v>0</v>
      </c>
      <c r="AG23" s="57">
        <v>1</v>
      </c>
      <c r="AH23" s="58">
        <v>3</v>
      </c>
      <c r="AI23" s="58">
        <v>1</v>
      </c>
      <c r="AJ23" s="58">
        <v>2</v>
      </c>
      <c r="AK23" s="59">
        <v>1</v>
      </c>
      <c r="AL23" s="61">
        <v>3</v>
      </c>
      <c r="AM23" s="46">
        <v>1</v>
      </c>
      <c r="AN23" s="47">
        <v>2</v>
      </c>
      <c r="AO23" s="48">
        <v>0</v>
      </c>
      <c r="AP23" s="57">
        <v>0</v>
      </c>
      <c r="AQ23" s="58">
        <v>0</v>
      </c>
      <c r="AR23" s="58">
        <v>1</v>
      </c>
      <c r="AS23" s="61">
        <v>2</v>
      </c>
      <c r="AT23" s="62">
        <v>2</v>
      </c>
      <c r="AU23" s="47">
        <v>0</v>
      </c>
      <c r="AV23" s="79">
        <f t="shared" si="2"/>
        <v>58</v>
      </c>
      <c r="AW23" s="80">
        <f t="shared" si="3"/>
        <v>62.365591397849464</v>
      </c>
      <c r="AY23" s="83">
        <f t="shared" si="4"/>
        <v>3</v>
      </c>
      <c r="AZ23" s="83">
        <f t="shared" si="5"/>
        <v>42.857142857142854</v>
      </c>
      <c r="BA23" s="83">
        <f t="shared" si="6"/>
        <v>6</v>
      </c>
      <c r="BB23" s="83">
        <f t="shared" si="7"/>
        <v>85.714285714285708</v>
      </c>
      <c r="BC23" s="83">
        <f t="shared" si="8"/>
        <v>10</v>
      </c>
      <c r="BD23" s="83">
        <f t="shared" si="9"/>
        <v>76.923076923076934</v>
      </c>
      <c r="BE23" s="83">
        <f t="shared" si="10"/>
        <v>5</v>
      </c>
      <c r="BF23" s="83">
        <f t="shared" si="11"/>
        <v>55.555555555555557</v>
      </c>
      <c r="BG23" s="83">
        <f t="shared" si="12"/>
        <v>7</v>
      </c>
      <c r="BH23" s="83">
        <f t="shared" si="13"/>
        <v>100</v>
      </c>
      <c r="BI23" s="83">
        <f t="shared" si="14"/>
        <v>4</v>
      </c>
      <c r="BJ23" s="83">
        <f t="shared" si="15"/>
        <v>44.444444444444443</v>
      </c>
      <c r="BK23" s="83">
        <f t="shared" si="16"/>
        <v>4</v>
      </c>
      <c r="BL23" s="83">
        <f t="shared" si="17"/>
        <v>40</v>
      </c>
      <c r="BM23" s="83">
        <f t="shared" si="18"/>
        <v>11</v>
      </c>
      <c r="BN23" s="83">
        <f t="shared" si="19"/>
        <v>84.615384615384613</v>
      </c>
      <c r="BO23" s="83">
        <f t="shared" si="20"/>
        <v>3</v>
      </c>
      <c r="BP23" s="83">
        <f t="shared" si="21"/>
        <v>37.5</v>
      </c>
      <c r="BQ23" s="83">
        <f t="shared" si="22"/>
        <v>3</v>
      </c>
      <c r="BR23" s="83">
        <f t="shared" si="23"/>
        <v>60</v>
      </c>
      <c r="BS23" s="82">
        <f t="shared" si="24"/>
        <v>2</v>
      </c>
      <c r="BT23" s="81">
        <f t="shared" si="25"/>
        <v>33.333333333333329</v>
      </c>
      <c r="BW23" s="86">
        <f t="shared" si="0"/>
        <v>6</v>
      </c>
      <c r="BX23" s="86">
        <f t="shared" si="26"/>
        <v>60</v>
      </c>
      <c r="BY23" s="86">
        <f t="shared" si="1"/>
        <v>9</v>
      </c>
      <c r="BZ23" s="86">
        <f t="shared" si="27"/>
        <v>56.25</v>
      </c>
    </row>
    <row r="24" spans="1:78" x14ac:dyDescent="0.25">
      <c r="A24" s="5" t="s">
        <v>26</v>
      </c>
      <c r="B24" s="4" t="s">
        <v>30</v>
      </c>
      <c r="C24" s="7" t="s">
        <v>7</v>
      </c>
      <c r="D24" s="46">
        <v>1</v>
      </c>
      <c r="E24" s="47">
        <v>3</v>
      </c>
      <c r="F24" s="48">
        <v>2</v>
      </c>
      <c r="G24" s="57">
        <v>1</v>
      </c>
      <c r="H24" s="58">
        <v>2</v>
      </c>
      <c r="I24" s="59">
        <v>4</v>
      </c>
      <c r="J24" s="46">
        <v>2</v>
      </c>
      <c r="K24" s="47">
        <v>0</v>
      </c>
      <c r="L24" s="47">
        <v>3</v>
      </c>
      <c r="M24" s="47">
        <v>2</v>
      </c>
      <c r="N24" s="47">
        <v>1</v>
      </c>
      <c r="O24" s="48">
        <v>3</v>
      </c>
      <c r="P24" s="60">
        <v>2</v>
      </c>
      <c r="Q24" s="58">
        <v>2</v>
      </c>
      <c r="R24" s="58">
        <v>2</v>
      </c>
      <c r="S24" s="61">
        <v>1</v>
      </c>
      <c r="T24" s="76">
        <v>2</v>
      </c>
      <c r="U24" s="46">
        <v>3</v>
      </c>
      <c r="V24" s="47">
        <v>2</v>
      </c>
      <c r="W24" s="48">
        <v>2</v>
      </c>
      <c r="X24" s="57">
        <v>2</v>
      </c>
      <c r="Y24" s="58">
        <v>2</v>
      </c>
      <c r="Z24" s="61">
        <v>5</v>
      </c>
      <c r="AA24" s="46">
        <v>1</v>
      </c>
      <c r="AB24" s="47">
        <v>0</v>
      </c>
      <c r="AC24" s="47">
        <v>2</v>
      </c>
      <c r="AD24" s="47">
        <v>0</v>
      </c>
      <c r="AE24" s="47">
        <v>0</v>
      </c>
      <c r="AF24" s="48">
        <v>2</v>
      </c>
      <c r="AG24" s="57">
        <v>1</v>
      </c>
      <c r="AH24" s="58">
        <v>2</v>
      </c>
      <c r="AI24" s="58">
        <v>1</v>
      </c>
      <c r="AJ24" s="58">
        <v>2</v>
      </c>
      <c r="AK24" s="59">
        <v>1</v>
      </c>
      <c r="AL24" s="61">
        <v>2</v>
      </c>
      <c r="AM24" s="46">
        <v>1</v>
      </c>
      <c r="AN24" s="47">
        <v>4</v>
      </c>
      <c r="AO24" s="48">
        <v>2</v>
      </c>
      <c r="AP24" s="57">
        <v>0</v>
      </c>
      <c r="AQ24" s="58">
        <v>1</v>
      </c>
      <c r="AR24" s="58">
        <v>1</v>
      </c>
      <c r="AS24" s="61">
        <v>1</v>
      </c>
      <c r="AT24" s="62">
        <v>2</v>
      </c>
      <c r="AU24" s="47">
        <v>0</v>
      </c>
      <c r="AV24" s="79">
        <f t="shared" si="2"/>
        <v>75</v>
      </c>
      <c r="AW24" s="80">
        <f t="shared" si="3"/>
        <v>80.645161290322577</v>
      </c>
      <c r="AY24" s="83">
        <f t="shared" si="4"/>
        <v>6</v>
      </c>
      <c r="AZ24" s="83">
        <f t="shared" si="5"/>
        <v>85.714285714285708</v>
      </c>
      <c r="BA24" s="83">
        <f t="shared" si="6"/>
        <v>7</v>
      </c>
      <c r="BB24" s="83">
        <f t="shared" si="7"/>
        <v>100</v>
      </c>
      <c r="BC24" s="83">
        <f t="shared" si="8"/>
        <v>11</v>
      </c>
      <c r="BD24" s="83">
        <f t="shared" si="9"/>
        <v>84.615384615384613</v>
      </c>
      <c r="BE24" s="83">
        <f t="shared" si="10"/>
        <v>9</v>
      </c>
      <c r="BF24" s="83">
        <f t="shared" si="11"/>
        <v>100</v>
      </c>
      <c r="BG24" s="83">
        <f t="shared" si="12"/>
        <v>7</v>
      </c>
      <c r="BH24" s="83">
        <f t="shared" si="13"/>
        <v>100</v>
      </c>
      <c r="BI24" s="83">
        <f t="shared" si="14"/>
        <v>9</v>
      </c>
      <c r="BJ24" s="83">
        <f t="shared" si="15"/>
        <v>100</v>
      </c>
      <c r="BK24" s="83">
        <f t="shared" si="16"/>
        <v>5</v>
      </c>
      <c r="BL24" s="83">
        <f t="shared" si="17"/>
        <v>50</v>
      </c>
      <c r="BM24" s="83">
        <f t="shared" si="18"/>
        <v>9</v>
      </c>
      <c r="BN24" s="83">
        <f t="shared" si="19"/>
        <v>69.230769230769226</v>
      </c>
      <c r="BO24" s="83">
        <f t="shared" si="20"/>
        <v>7</v>
      </c>
      <c r="BP24" s="83">
        <f t="shared" si="21"/>
        <v>87.5</v>
      </c>
      <c r="BQ24" s="83">
        <f t="shared" si="22"/>
        <v>3</v>
      </c>
      <c r="BR24" s="83">
        <f t="shared" si="23"/>
        <v>60</v>
      </c>
      <c r="BS24" s="82">
        <f t="shared" si="24"/>
        <v>2</v>
      </c>
      <c r="BT24" s="81">
        <f t="shared" si="25"/>
        <v>33.333333333333329</v>
      </c>
      <c r="BW24" s="86">
        <f t="shared" si="0"/>
        <v>7</v>
      </c>
      <c r="BX24" s="86">
        <f t="shared" si="26"/>
        <v>70</v>
      </c>
      <c r="BY24" s="86">
        <f t="shared" si="1"/>
        <v>12</v>
      </c>
      <c r="BZ24" s="86">
        <f t="shared" si="27"/>
        <v>75</v>
      </c>
    </row>
    <row r="25" spans="1:78" x14ac:dyDescent="0.25">
      <c r="A25" s="5" t="s">
        <v>26</v>
      </c>
      <c r="B25" s="4" t="s">
        <v>31</v>
      </c>
      <c r="C25" s="7" t="s">
        <v>41</v>
      </c>
      <c r="D25" s="46">
        <v>1</v>
      </c>
      <c r="E25" s="47">
        <v>3</v>
      </c>
      <c r="F25" s="48">
        <v>2</v>
      </c>
      <c r="G25" s="57">
        <v>1</v>
      </c>
      <c r="H25" s="58">
        <v>2</v>
      </c>
      <c r="I25" s="59">
        <v>4</v>
      </c>
      <c r="J25" s="46">
        <v>1</v>
      </c>
      <c r="K25" s="47">
        <v>1</v>
      </c>
      <c r="L25" s="47">
        <v>3</v>
      </c>
      <c r="M25" s="47">
        <v>1</v>
      </c>
      <c r="N25" s="47">
        <v>0</v>
      </c>
      <c r="O25" s="48">
        <v>3</v>
      </c>
      <c r="P25" s="60">
        <v>2</v>
      </c>
      <c r="Q25" s="58">
        <v>2</v>
      </c>
      <c r="R25" s="58">
        <v>0</v>
      </c>
      <c r="S25" s="61">
        <v>1</v>
      </c>
      <c r="T25" s="76">
        <v>2</v>
      </c>
      <c r="U25" s="46">
        <v>3</v>
      </c>
      <c r="V25" s="47">
        <v>2</v>
      </c>
      <c r="W25" s="48">
        <v>2</v>
      </c>
      <c r="X25" s="57">
        <v>2</v>
      </c>
      <c r="Y25" s="58">
        <v>2</v>
      </c>
      <c r="Z25" s="61">
        <v>4</v>
      </c>
      <c r="AA25" s="46">
        <v>1</v>
      </c>
      <c r="AB25" s="47">
        <v>1</v>
      </c>
      <c r="AC25" s="47">
        <v>2</v>
      </c>
      <c r="AD25" s="47">
        <v>1</v>
      </c>
      <c r="AE25" s="47">
        <v>3</v>
      </c>
      <c r="AF25" s="48">
        <v>0</v>
      </c>
      <c r="AG25" s="57">
        <v>1</v>
      </c>
      <c r="AH25" s="58">
        <v>2</v>
      </c>
      <c r="AI25" s="58">
        <v>1</v>
      </c>
      <c r="AJ25" s="58">
        <v>2</v>
      </c>
      <c r="AK25" s="59">
        <v>1</v>
      </c>
      <c r="AL25" s="61">
        <v>2</v>
      </c>
      <c r="AM25" s="46">
        <v>1</v>
      </c>
      <c r="AN25" s="47">
        <v>4</v>
      </c>
      <c r="AO25" s="48">
        <v>2</v>
      </c>
      <c r="AP25" s="57">
        <v>1</v>
      </c>
      <c r="AQ25" s="58">
        <v>1</v>
      </c>
      <c r="AR25" s="58">
        <v>0</v>
      </c>
      <c r="AS25" s="61">
        <v>0</v>
      </c>
      <c r="AT25" s="62">
        <v>0</v>
      </c>
      <c r="AU25" s="47">
        <v>0</v>
      </c>
      <c r="AV25" s="79">
        <f t="shared" si="2"/>
        <v>70</v>
      </c>
      <c r="AW25" s="80">
        <f t="shared" si="3"/>
        <v>75.268817204301072</v>
      </c>
      <c r="AY25" s="83">
        <f t="shared" si="4"/>
        <v>7</v>
      </c>
      <c r="AZ25" s="83">
        <f t="shared" si="5"/>
        <v>100</v>
      </c>
      <c r="BA25" s="83">
        <f t="shared" si="6"/>
        <v>7</v>
      </c>
      <c r="BB25" s="83">
        <f t="shared" si="7"/>
        <v>100</v>
      </c>
      <c r="BC25" s="83">
        <f t="shared" si="8"/>
        <v>9</v>
      </c>
      <c r="BD25" s="83">
        <f t="shared" si="9"/>
        <v>69.230769230769226</v>
      </c>
      <c r="BE25" s="83">
        <f t="shared" si="10"/>
        <v>7</v>
      </c>
      <c r="BF25" s="83">
        <f t="shared" si="11"/>
        <v>77.777777777777786</v>
      </c>
      <c r="BG25" s="83">
        <f t="shared" si="12"/>
        <v>7</v>
      </c>
      <c r="BH25" s="83">
        <f t="shared" si="13"/>
        <v>100</v>
      </c>
      <c r="BI25" s="83">
        <f t="shared" si="14"/>
        <v>8</v>
      </c>
      <c r="BJ25" s="83">
        <f t="shared" si="15"/>
        <v>88.888888888888886</v>
      </c>
      <c r="BK25" s="83">
        <f t="shared" si="16"/>
        <v>8</v>
      </c>
      <c r="BL25" s="83">
        <f t="shared" si="17"/>
        <v>80</v>
      </c>
      <c r="BM25" s="83">
        <f t="shared" si="18"/>
        <v>9</v>
      </c>
      <c r="BN25" s="83">
        <f t="shared" si="19"/>
        <v>69.230769230769226</v>
      </c>
      <c r="BO25" s="83">
        <f t="shared" si="20"/>
        <v>7</v>
      </c>
      <c r="BP25" s="83">
        <f t="shared" si="21"/>
        <v>87.5</v>
      </c>
      <c r="BQ25" s="83">
        <f t="shared" si="22"/>
        <v>2</v>
      </c>
      <c r="BR25" s="83">
        <f t="shared" si="23"/>
        <v>40</v>
      </c>
      <c r="BS25" s="82">
        <f t="shared" si="24"/>
        <v>0</v>
      </c>
      <c r="BT25" s="81">
        <f t="shared" si="25"/>
        <v>0</v>
      </c>
      <c r="BW25" s="86">
        <f t="shared" si="0"/>
        <v>8</v>
      </c>
      <c r="BX25" s="86">
        <f t="shared" si="26"/>
        <v>80</v>
      </c>
      <c r="BY25" s="86">
        <f t="shared" si="1"/>
        <v>12</v>
      </c>
      <c r="BZ25" s="86">
        <f t="shared" si="27"/>
        <v>75</v>
      </c>
    </row>
    <row r="26" spans="1:78" x14ac:dyDescent="0.25">
      <c r="A26" s="5" t="s">
        <v>26</v>
      </c>
      <c r="B26" s="4" t="s">
        <v>32</v>
      </c>
      <c r="C26" s="7" t="s">
        <v>7</v>
      </c>
      <c r="D26" s="46">
        <v>1</v>
      </c>
      <c r="E26" s="47">
        <v>3</v>
      </c>
      <c r="F26" s="48">
        <v>2</v>
      </c>
      <c r="G26" s="57">
        <v>1</v>
      </c>
      <c r="H26" s="58">
        <v>2</v>
      </c>
      <c r="I26" s="59">
        <v>4</v>
      </c>
      <c r="J26" s="46">
        <v>2</v>
      </c>
      <c r="K26" s="47">
        <v>1</v>
      </c>
      <c r="L26" s="47">
        <v>3</v>
      </c>
      <c r="M26" s="47">
        <v>3</v>
      </c>
      <c r="N26" s="47">
        <v>1</v>
      </c>
      <c r="O26" s="48">
        <v>2</v>
      </c>
      <c r="P26" s="60">
        <v>2</v>
      </c>
      <c r="Q26" s="58">
        <v>1</v>
      </c>
      <c r="R26" s="58">
        <v>2</v>
      </c>
      <c r="S26" s="61">
        <v>1</v>
      </c>
      <c r="T26" s="76">
        <v>2</v>
      </c>
      <c r="U26" s="46">
        <v>3</v>
      </c>
      <c r="V26" s="47">
        <v>2</v>
      </c>
      <c r="W26" s="48">
        <v>2</v>
      </c>
      <c r="X26" s="57">
        <v>2</v>
      </c>
      <c r="Y26" s="58">
        <v>2</v>
      </c>
      <c r="Z26" s="61">
        <v>4</v>
      </c>
      <c r="AA26" s="46">
        <v>1</v>
      </c>
      <c r="AB26" s="47">
        <v>1</v>
      </c>
      <c r="AC26" s="47">
        <v>2</v>
      </c>
      <c r="AD26" s="47">
        <v>1</v>
      </c>
      <c r="AE26" s="47">
        <v>3</v>
      </c>
      <c r="AF26" s="48">
        <v>0</v>
      </c>
      <c r="AG26" s="57">
        <v>1</v>
      </c>
      <c r="AH26" s="58">
        <v>3</v>
      </c>
      <c r="AI26" s="58">
        <v>0</v>
      </c>
      <c r="AJ26" s="58">
        <v>0</v>
      </c>
      <c r="AK26" s="59">
        <v>1</v>
      </c>
      <c r="AL26" s="61">
        <v>3</v>
      </c>
      <c r="AM26" s="46">
        <v>1</v>
      </c>
      <c r="AN26" s="47">
        <v>3</v>
      </c>
      <c r="AO26" s="48">
        <v>0</v>
      </c>
      <c r="AP26" s="57">
        <v>1</v>
      </c>
      <c r="AQ26" s="58">
        <v>0</v>
      </c>
      <c r="AR26" s="58">
        <v>0</v>
      </c>
      <c r="AS26" s="61">
        <v>0</v>
      </c>
      <c r="AT26" s="62">
        <v>2</v>
      </c>
      <c r="AU26" s="47">
        <v>4</v>
      </c>
      <c r="AV26" s="79">
        <f t="shared" si="2"/>
        <v>75</v>
      </c>
      <c r="AW26" s="80">
        <f t="shared" si="3"/>
        <v>80.645161290322577</v>
      </c>
      <c r="AY26" s="83">
        <f t="shared" si="4"/>
        <v>7</v>
      </c>
      <c r="AZ26" s="83">
        <f t="shared" si="5"/>
        <v>100</v>
      </c>
      <c r="BA26" s="83">
        <f t="shared" si="6"/>
        <v>7</v>
      </c>
      <c r="BB26" s="83">
        <f t="shared" si="7"/>
        <v>100</v>
      </c>
      <c r="BC26" s="83">
        <f t="shared" si="8"/>
        <v>12</v>
      </c>
      <c r="BD26" s="83">
        <f t="shared" si="9"/>
        <v>92.307692307692307</v>
      </c>
      <c r="BE26" s="83">
        <f t="shared" si="10"/>
        <v>8</v>
      </c>
      <c r="BF26" s="83">
        <f t="shared" si="11"/>
        <v>88.888888888888886</v>
      </c>
      <c r="BG26" s="83">
        <f t="shared" si="12"/>
        <v>7</v>
      </c>
      <c r="BH26" s="83">
        <f t="shared" si="13"/>
        <v>100</v>
      </c>
      <c r="BI26" s="83">
        <f t="shared" si="14"/>
        <v>8</v>
      </c>
      <c r="BJ26" s="83">
        <f t="shared" si="15"/>
        <v>88.888888888888886</v>
      </c>
      <c r="BK26" s="83">
        <f t="shared" si="16"/>
        <v>8</v>
      </c>
      <c r="BL26" s="83">
        <f t="shared" si="17"/>
        <v>80</v>
      </c>
      <c r="BM26" s="83">
        <f t="shared" si="18"/>
        <v>8</v>
      </c>
      <c r="BN26" s="83">
        <f t="shared" si="19"/>
        <v>61.53846153846154</v>
      </c>
      <c r="BO26" s="83">
        <f t="shared" si="20"/>
        <v>4</v>
      </c>
      <c r="BP26" s="83">
        <f t="shared" si="21"/>
        <v>50</v>
      </c>
      <c r="BQ26" s="83">
        <f t="shared" si="22"/>
        <v>1</v>
      </c>
      <c r="BR26" s="83">
        <f t="shared" si="23"/>
        <v>20</v>
      </c>
      <c r="BS26" s="82">
        <f t="shared" si="24"/>
        <v>6</v>
      </c>
      <c r="BT26" s="81">
        <f t="shared" si="25"/>
        <v>100</v>
      </c>
      <c r="BW26" s="86">
        <f t="shared" si="0"/>
        <v>9</v>
      </c>
      <c r="BX26" s="86">
        <f t="shared" si="26"/>
        <v>90</v>
      </c>
      <c r="BY26" s="86">
        <f t="shared" si="1"/>
        <v>7</v>
      </c>
      <c r="BZ26" s="86">
        <f t="shared" si="27"/>
        <v>43.75</v>
      </c>
    </row>
    <row r="27" spans="1:78" x14ac:dyDescent="0.25">
      <c r="A27" s="5" t="s">
        <v>26</v>
      </c>
      <c r="B27" s="4" t="s">
        <v>33</v>
      </c>
      <c r="C27" s="7" t="s">
        <v>40</v>
      </c>
      <c r="D27" s="46">
        <v>0</v>
      </c>
      <c r="E27" s="47">
        <v>3</v>
      </c>
      <c r="F27" s="48">
        <v>0</v>
      </c>
      <c r="G27" s="57">
        <v>1</v>
      </c>
      <c r="H27" s="58">
        <v>2</v>
      </c>
      <c r="I27" s="59">
        <v>4</v>
      </c>
      <c r="J27" s="46">
        <v>0</v>
      </c>
      <c r="K27" s="47">
        <v>2</v>
      </c>
      <c r="L27" s="47">
        <v>0</v>
      </c>
      <c r="M27" s="47">
        <v>0</v>
      </c>
      <c r="N27" s="47">
        <v>0</v>
      </c>
      <c r="O27" s="48">
        <v>0</v>
      </c>
      <c r="P27" s="60">
        <v>0</v>
      </c>
      <c r="Q27" s="58">
        <v>0</v>
      </c>
      <c r="R27" s="58">
        <v>0</v>
      </c>
      <c r="S27" s="61">
        <v>0</v>
      </c>
      <c r="T27" s="76">
        <v>0</v>
      </c>
      <c r="U27" s="46">
        <v>3</v>
      </c>
      <c r="V27" s="47">
        <v>0</v>
      </c>
      <c r="W27" s="48">
        <v>1</v>
      </c>
      <c r="X27" s="57">
        <v>2</v>
      </c>
      <c r="Y27" s="58">
        <v>2</v>
      </c>
      <c r="Z27" s="61">
        <v>0</v>
      </c>
      <c r="AA27" s="46">
        <v>0</v>
      </c>
      <c r="AB27" s="47">
        <v>0</v>
      </c>
      <c r="AC27" s="47">
        <v>2</v>
      </c>
      <c r="AD27" s="47">
        <v>0</v>
      </c>
      <c r="AE27" s="47">
        <v>0</v>
      </c>
      <c r="AF27" s="48">
        <v>0</v>
      </c>
      <c r="AG27" s="57">
        <v>1</v>
      </c>
      <c r="AH27" s="58">
        <v>2</v>
      </c>
      <c r="AI27" s="58">
        <v>1</v>
      </c>
      <c r="AJ27" s="58">
        <v>1</v>
      </c>
      <c r="AK27" s="59">
        <v>1</v>
      </c>
      <c r="AL27" s="61">
        <v>1</v>
      </c>
      <c r="AM27" s="46">
        <v>1</v>
      </c>
      <c r="AN27" s="47">
        <v>0</v>
      </c>
      <c r="AO27" s="48">
        <v>1</v>
      </c>
      <c r="AP27" s="57">
        <v>0</v>
      </c>
      <c r="AQ27" s="58">
        <v>0</v>
      </c>
      <c r="AR27" s="58">
        <v>0</v>
      </c>
      <c r="AS27" s="61">
        <v>0</v>
      </c>
      <c r="AT27" s="62">
        <v>0</v>
      </c>
      <c r="AU27" s="47">
        <v>0</v>
      </c>
      <c r="AV27" s="79">
        <f t="shared" si="2"/>
        <v>31</v>
      </c>
      <c r="AW27" s="80">
        <f t="shared" si="3"/>
        <v>33.333333333333329</v>
      </c>
      <c r="AY27" s="83">
        <f t="shared" si="4"/>
        <v>5</v>
      </c>
      <c r="AZ27" s="83">
        <f t="shared" si="5"/>
        <v>71.428571428571431</v>
      </c>
      <c r="BA27" s="83">
        <f t="shared" si="6"/>
        <v>7</v>
      </c>
      <c r="BB27" s="83">
        <f t="shared" si="7"/>
        <v>100</v>
      </c>
      <c r="BC27" s="83">
        <f t="shared" si="8"/>
        <v>2</v>
      </c>
      <c r="BD27" s="83">
        <f t="shared" si="9"/>
        <v>15.384615384615385</v>
      </c>
      <c r="BE27" s="83">
        <f t="shared" si="10"/>
        <v>0</v>
      </c>
      <c r="BF27" s="83">
        <f t="shared" si="11"/>
        <v>0</v>
      </c>
      <c r="BG27" s="83">
        <f t="shared" si="12"/>
        <v>4</v>
      </c>
      <c r="BH27" s="83">
        <f t="shared" si="13"/>
        <v>57.142857142857139</v>
      </c>
      <c r="BI27" s="83">
        <f t="shared" si="14"/>
        <v>4</v>
      </c>
      <c r="BJ27" s="83">
        <f t="shared" si="15"/>
        <v>44.444444444444443</v>
      </c>
      <c r="BK27" s="83">
        <f t="shared" si="16"/>
        <v>2</v>
      </c>
      <c r="BL27" s="83">
        <f t="shared" si="17"/>
        <v>20</v>
      </c>
      <c r="BM27" s="83">
        <f t="shared" si="18"/>
        <v>7</v>
      </c>
      <c r="BN27" s="83">
        <f t="shared" si="19"/>
        <v>53.846153846153847</v>
      </c>
      <c r="BO27" s="83">
        <f t="shared" si="20"/>
        <v>2</v>
      </c>
      <c r="BP27" s="83">
        <f t="shared" si="21"/>
        <v>25</v>
      </c>
      <c r="BQ27" s="83">
        <f t="shared" si="22"/>
        <v>0</v>
      </c>
      <c r="BR27" s="83">
        <f t="shared" si="23"/>
        <v>0</v>
      </c>
      <c r="BS27" s="82">
        <f t="shared" si="24"/>
        <v>0</v>
      </c>
      <c r="BT27" s="81">
        <f t="shared" si="25"/>
        <v>0</v>
      </c>
      <c r="BW27" s="86">
        <f t="shared" si="0"/>
        <v>1</v>
      </c>
      <c r="BX27" s="86">
        <f t="shared" si="26"/>
        <v>10</v>
      </c>
      <c r="BY27" s="86">
        <f t="shared" si="1"/>
        <v>5</v>
      </c>
      <c r="BZ27" s="86">
        <f t="shared" si="27"/>
        <v>31.25</v>
      </c>
    </row>
    <row r="28" spans="1:78" x14ac:dyDescent="0.25">
      <c r="A28" s="5" t="s">
        <v>26</v>
      </c>
      <c r="B28" s="4" t="s">
        <v>34</v>
      </c>
      <c r="C28" s="7" t="s">
        <v>5</v>
      </c>
      <c r="D28" s="46">
        <v>1</v>
      </c>
      <c r="E28" s="47">
        <v>3</v>
      </c>
      <c r="F28" s="48">
        <v>2</v>
      </c>
      <c r="G28" s="57">
        <v>1</v>
      </c>
      <c r="H28" s="58">
        <v>2</v>
      </c>
      <c r="I28" s="59">
        <v>4</v>
      </c>
      <c r="J28" s="46">
        <v>2</v>
      </c>
      <c r="K28" s="47">
        <v>1</v>
      </c>
      <c r="L28" s="47">
        <v>3</v>
      </c>
      <c r="M28" s="47">
        <v>3</v>
      </c>
      <c r="N28" s="47">
        <v>0</v>
      </c>
      <c r="O28" s="48">
        <v>1</v>
      </c>
      <c r="P28" s="60">
        <v>2</v>
      </c>
      <c r="Q28" s="58">
        <v>2</v>
      </c>
      <c r="R28" s="58">
        <v>2</v>
      </c>
      <c r="S28" s="61">
        <v>1</v>
      </c>
      <c r="T28" s="76">
        <v>2</v>
      </c>
      <c r="U28" s="46">
        <v>3</v>
      </c>
      <c r="V28" s="47">
        <v>2</v>
      </c>
      <c r="W28" s="48">
        <v>1</v>
      </c>
      <c r="X28" s="57">
        <v>2</v>
      </c>
      <c r="Y28" s="58">
        <v>2</v>
      </c>
      <c r="Z28" s="61">
        <v>2</v>
      </c>
      <c r="AA28" s="46">
        <v>1</v>
      </c>
      <c r="AB28" s="47">
        <v>1</v>
      </c>
      <c r="AC28" s="47">
        <v>2</v>
      </c>
      <c r="AD28" s="47">
        <v>1</v>
      </c>
      <c r="AE28" s="47">
        <v>3</v>
      </c>
      <c r="AF28" s="48">
        <v>0</v>
      </c>
      <c r="AG28" s="57">
        <v>1</v>
      </c>
      <c r="AH28" s="58">
        <v>2</v>
      </c>
      <c r="AI28" s="58">
        <v>1</v>
      </c>
      <c r="AJ28" s="58">
        <v>1</v>
      </c>
      <c r="AK28" s="59">
        <v>1</v>
      </c>
      <c r="AL28" s="61">
        <v>3</v>
      </c>
      <c r="AM28" s="46">
        <v>1</v>
      </c>
      <c r="AN28" s="47">
        <v>4</v>
      </c>
      <c r="AO28" s="48">
        <v>2</v>
      </c>
      <c r="AP28" s="57">
        <v>1</v>
      </c>
      <c r="AQ28" s="58">
        <v>1</v>
      </c>
      <c r="AR28" s="58">
        <v>1</v>
      </c>
      <c r="AS28" s="61">
        <v>2</v>
      </c>
      <c r="AT28" s="62">
        <v>2</v>
      </c>
      <c r="AU28" s="47">
        <v>0</v>
      </c>
      <c r="AV28" s="79">
        <f t="shared" si="2"/>
        <v>75</v>
      </c>
      <c r="AW28" s="80">
        <f t="shared" si="3"/>
        <v>80.645161290322577</v>
      </c>
      <c r="AY28" s="83">
        <f t="shared" si="4"/>
        <v>7</v>
      </c>
      <c r="AZ28" s="83">
        <f t="shared" si="5"/>
        <v>100</v>
      </c>
      <c r="BA28" s="83">
        <f t="shared" si="6"/>
        <v>7</v>
      </c>
      <c r="BB28" s="83">
        <f t="shared" si="7"/>
        <v>100</v>
      </c>
      <c r="BC28" s="83">
        <f t="shared" si="8"/>
        <v>10</v>
      </c>
      <c r="BD28" s="83">
        <f t="shared" si="9"/>
        <v>76.923076923076934</v>
      </c>
      <c r="BE28" s="83">
        <f t="shared" si="10"/>
        <v>9</v>
      </c>
      <c r="BF28" s="83">
        <f t="shared" si="11"/>
        <v>100</v>
      </c>
      <c r="BG28" s="83">
        <f t="shared" si="12"/>
        <v>6</v>
      </c>
      <c r="BH28" s="83">
        <f t="shared" si="13"/>
        <v>85.714285714285708</v>
      </c>
      <c r="BI28" s="83">
        <f t="shared" si="14"/>
        <v>6</v>
      </c>
      <c r="BJ28" s="83">
        <f t="shared" si="15"/>
        <v>66.666666666666657</v>
      </c>
      <c r="BK28" s="83">
        <f t="shared" si="16"/>
        <v>8</v>
      </c>
      <c r="BL28" s="83">
        <f t="shared" si="17"/>
        <v>80</v>
      </c>
      <c r="BM28" s="83">
        <f t="shared" si="18"/>
        <v>9</v>
      </c>
      <c r="BN28" s="83">
        <f t="shared" si="19"/>
        <v>69.230769230769226</v>
      </c>
      <c r="BO28" s="83">
        <f t="shared" si="20"/>
        <v>7</v>
      </c>
      <c r="BP28" s="83">
        <f t="shared" si="21"/>
        <v>87.5</v>
      </c>
      <c r="BQ28" s="83">
        <f t="shared" si="22"/>
        <v>5</v>
      </c>
      <c r="BR28" s="83">
        <f t="shared" si="23"/>
        <v>100</v>
      </c>
      <c r="BS28" s="82">
        <f t="shared" si="24"/>
        <v>2</v>
      </c>
      <c r="BT28" s="81">
        <f t="shared" si="25"/>
        <v>33.333333333333329</v>
      </c>
      <c r="BW28" s="86">
        <f t="shared" si="0"/>
        <v>9</v>
      </c>
      <c r="BX28" s="86">
        <f t="shared" si="26"/>
        <v>90</v>
      </c>
      <c r="BY28" s="86">
        <f t="shared" si="1"/>
        <v>8</v>
      </c>
      <c r="BZ28" s="86">
        <f t="shared" si="27"/>
        <v>50</v>
      </c>
    </row>
    <row r="29" spans="1:78" x14ac:dyDescent="0.25">
      <c r="A29" s="5" t="s">
        <v>26</v>
      </c>
      <c r="B29" s="4" t="s">
        <v>35</v>
      </c>
      <c r="C29" s="7" t="s">
        <v>41</v>
      </c>
      <c r="D29" s="46">
        <v>1</v>
      </c>
      <c r="E29" s="47">
        <v>3</v>
      </c>
      <c r="F29" s="48">
        <v>2</v>
      </c>
      <c r="G29" s="57">
        <v>1</v>
      </c>
      <c r="H29" s="58">
        <v>2</v>
      </c>
      <c r="I29" s="59">
        <v>4</v>
      </c>
      <c r="J29" s="46">
        <v>2</v>
      </c>
      <c r="K29" s="47">
        <v>1</v>
      </c>
      <c r="L29" s="47">
        <v>3</v>
      </c>
      <c r="M29" s="47">
        <v>3</v>
      </c>
      <c r="N29" s="47">
        <v>0</v>
      </c>
      <c r="O29" s="48">
        <v>3</v>
      </c>
      <c r="P29" s="60">
        <v>2</v>
      </c>
      <c r="Q29" s="58">
        <v>2</v>
      </c>
      <c r="R29" s="58">
        <v>2</v>
      </c>
      <c r="S29" s="61">
        <v>1</v>
      </c>
      <c r="T29" s="76">
        <v>2</v>
      </c>
      <c r="U29" s="46">
        <v>3</v>
      </c>
      <c r="V29" s="47">
        <v>2</v>
      </c>
      <c r="W29" s="48">
        <v>0</v>
      </c>
      <c r="X29" s="57">
        <v>2</v>
      </c>
      <c r="Y29" s="58">
        <v>2</v>
      </c>
      <c r="Z29" s="61">
        <v>2</v>
      </c>
      <c r="AA29" s="46">
        <v>1</v>
      </c>
      <c r="AB29" s="47">
        <v>1</v>
      </c>
      <c r="AC29" s="47">
        <v>2</v>
      </c>
      <c r="AD29" s="47">
        <v>1</v>
      </c>
      <c r="AE29" s="47">
        <v>3</v>
      </c>
      <c r="AF29" s="48">
        <v>2</v>
      </c>
      <c r="AG29" s="57">
        <v>1</v>
      </c>
      <c r="AH29" s="58">
        <v>2</v>
      </c>
      <c r="AI29" s="58">
        <v>1</v>
      </c>
      <c r="AJ29" s="58">
        <v>2</v>
      </c>
      <c r="AK29" s="59">
        <v>1</v>
      </c>
      <c r="AL29" s="61">
        <v>2</v>
      </c>
      <c r="AM29" s="46">
        <v>1</v>
      </c>
      <c r="AN29" s="47">
        <v>4</v>
      </c>
      <c r="AO29" s="48">
        <v>0</v>
      </c>
      <c r="AP29" s="57">
        <v>1</v>
      </c>
      <c r="AQ29" s="58">
        <v>1</v>
      </c>
      <c r="AR29" s="58">
        <v>1</v>
      </c>
      <c r="AS29" s="61">
        <v>2</v>
      </c>
      <c r="AT29" s="62">
        <v>2</v>
      </c>
      <c r="AU29" s="47">
        <v>0</v>
      </c>
      <c r="AV29" s="79">
        <f t="shared" si="2"/>
        <v>76</v>
      </c>
      <c r="AW29" s="80">
        <f t="shared" si="3"/>
        <v>81.72043010752688</v>
      </c>
      <c r="AY29" s="83">
        <f t="shared" si="4"/>
        <v>7</v>
      </c>
      <c r="AZ29" s="83">
        <f t="shared" si="5"/>
        <v>100</v>
      </c>
      <c r="BA29" s="83">
        <f t="shared" si="6"/>
        <v>7</v>
      </c>
      <c r="BB29" s="83">
        <f t="shared" si="7"/>
        <v>100</v>
      </c>
      <c r="BC29" s="83">
        <f t="shared" si="8"/>
        <v>12</v>
      </c>
      <c r="BD29" s="83">
        <f t="shared" si="9"/>
        <v>92.307692307692307</v>
      </c>
      <c r="BE29" s="83">
        <f t="shared" si="10"/>
        <v>9</v>
      </c>
      <c r="BF29" s="83">
        <f t="shared" si="11"/>
        <v>100</v>
      </c>
      <c r="BG29" s="83">
        <f t="shared" si="12"/>
        <v>5</v>
      </c>
      <c r="BH29" s="83">
        <f t="shared" si="13"/>
        <v>71.428571428571431</v>
      </c>
      <c r="BI29" s="83">
        <f t="shared" si="14"/>
        <v>6</v>
      </c>
      <c r="BJ29" s="83">
        <f t="shared" si="15"/>
        <v>66.666666666666657</v>
      </c>
      <c r="BK29" s="83">
        <f t="shared" si="16"/>
        <v>10</v>
      </c>
      <c r="BL29" s="83">
        <f t="shared" si="17"/>
        <v>100</v>
      </c>
      <c r="BM29" s="83">
        <f t="shared" si="18"/>
        <v>9</v>
      </c>
      <c r="BN29" s="83">
        <f t="shared" si="19"/>
        <v>69.230769230769226</v>
      </c>
      <c r="BO29" s="83">
        <f t="shared" si="20"/>
        <v>5</v>
      </c>
      <c r="BP29" s="83">
        <f t="shared" si="21"/>
        <v>62.5</v>
      </c>
      <c r="BQ29" s="83">
        <f t="shared" si="22"/>
        <v>5</v>
      </c>
      <c r="BR29" s="83">
        <f t="shared" si="23"/>
        <v>100</v>
      </c>
      <c r="BS29" s="82">
        <f t="shared" si="24"/>
        <v>2</v>
      </c>
      <c r="BT29" s="81">
        <f t="shared" si="25"/>
        <v>33.333333333333329</v>
      </c>
      <c r="BW29" s="86">
        <f t="shared" si="0"/>
        <v>9</v>
      </c>
      <c r="BX29" s="86">
        <f t="shared" si="26"/>
        <v>90</v>
      </c>
      <c r="BY29" s="86">
        <f t="shared" si="1"/>
        <v>8</v>
      </c>
      <c r="BZ29" s="86">
        <f t="shared" si="27"/>
        <v>50</v>
      </c>
    </row>
    <row r="30" spans="1:78" x14ac:dyDescent="0.25">
      <c r="A30" s="5" t="s">
        <v>26</v>
      </c>
      <c r="B30" s="4" t="s">
        <v>36</v>
      </c>
      <c r="C30" s="7" t="s">
        <v>13</v>
      </c>
      <c r="D30" s="46">
        <v>0</v>
      </c>
      <c r="E30" s="47">
        <v>2</v>
      </c>
      <c r="F30" s="48">
        <v>2</v>
      </c>
      <c r="G30" s="57">
        <v>1</v>
      </c>
      <c r="H30" s="58">
        <v>1</v>
      </c>
      <c r="I30" s="59">
        <v>4</v>
      </c>
      <c r="J30" s="46">
        <v>1</v>
      </c>
      <c r="K30" s="47">
        <v>0</v>
      </c>
      <c r="L30" s="47">
        <v>3</v>
      </c>
      <c r="M30" s="47">
        <v>1</v>
      </c>
      <c r="N30" s="47">
        <v>1</v>
      </c>
      <c r="O30" s="48">
        <v>3</v>
      </c>
      <c r="P30" s="60">
        <v>2</v>
      </c>
      <c r="Q30" s="58">
        <v>2</v>
      </c>
      <c r="R30" s="58">
        <v>1</v>
      </c>
      <c r="S30" s="61">
        <v>0</v>
      </c>
      <c r="T30" s="76">
        <v>2</v>
      </c>
      <c r="U30" s="46">
        <v>3</v>
      </c>
      <c r="V30" s="47">
        <v>2</v>
      </c>
      <c r="W30" s="48">
        <v>0</v>
      </c>
      <c r="X30" s="57">
        <v>2</v>
      </c>
      <c r="Y30" s="58">
        <v>2</v>
      </c>
      <c r="Z30" s="61">
        <v>5</v>
      </c>
      <c r="AA30" s="46">
        <v>0</v>
      </c>
      <c r="AB30" s="47">
        <v>1</v>
      </c>
      <c r="AC30" s="47">
        <v>2</v>
      </c>
      <c r="AD30" s="47">
        <v>0</v>
      </c>
      <c r="AE30" s="47">
        <v>0</v>
      </c>
      <c r="AF30" s="48">
        <v>0</v>
      </c>
      <c r="AG30" s="57">
        <v>1</v>
      </c>
      <c r="AH30" s="58">
        <v>2</v>
      </c>
      <c r="AI30" s="58">
        <v>1</v>
      </c>
      <c r="AJ30" s="58">
        <v>2</v>
      </c>
      <c r="AK30" s="59">
        <v>1</v>
      </c>
      <c r="AL30" s="61">
        <v>2</v>
      </c>
      <c r="AM30" s="46">
        <v>1</v>
      </c>
      <c r="AN30" s="47">
        <v>1</v>
      </c>
      <c r="AO30" s="48">
        <v>1</v>
      </c>
      <c r="AP30" s="57">
        <v>1</v>
      </c>
      <c r="AQ30" s="58">
        <v>0</v>
      </c>
      <c r="AR30" s="58">
        <v>0</v>
      </c>
      <c r="AS30" s="61">
        <v>0</v>
      </c>
      <c r="AT30" s="62">
        <v>0</v>
      </c>
      <c r="AU30" s="47">
        <v>0</v>
      </c>
      <c r="AV30" s="79">
        <f t="shared" si="2"/>
        <v>56</v>
      </c>
      <c r="AW30" s="80">
        <f t="shared" si="3"/>
        <v>60.215053763440864</v>
      </c>
      <c r="AY30" s="83">
        <f t="shared" si="4"/>
        <v>4</v>
      </c>
      <c r="AZ30" s="83">
        <f t="shared" si="5"/>
        <v>57.142857142857139</v>
      </c>
      <c r="BA30" s="83">
        <f t="shared" si="6"/>
        <v>6</v>
      </c>
      <c r="BB30" s="83">
        <f t="shared" si="7"/>
        <v>85.714285714285708</v>
      </c>
      <c r="BC30" s="83">
        <f t="shared" si="8"/>
        <v>9</v>
      </c>
      <c r="BD30" s="83">
        <f t="shared" si="9"/>
        <v>69.230769230769226</v>
      </c>
      <c r="BE30" s="83">
        <f t="shared" si="10"/>
        <v>7</v>
      </c>
      <c r="BF30" s="83">
        <f t="shared" si="11"/>
        <v>77.777777777777786</v>
      </c>
      <c r="BG30" s="83">
        <f t="shared" si="12"/>
        <v>5</v>
      </c>
      <c r="BH30" s="83">
        <f t="shared" si="13"/>
        <v>71.428571428571431</v>
      </c>
      <c r="BI30" s="83">
        <f t="shared" si="14"/>
        <v>9</v>
      </c>
      <c r="BJ30" s="83">
        <f t="shared" si="15"/>
        <v>100</v>
      </c>
      <c r="BK30" s="83">
        <f t="shared" si="16"/>
        <v>3</v>
      </c>
      <c r="BL30" s="83">
        <f t="shared" si="17"/>
        <v>30</v>
      </c>
      <c r="BM30" s="83">
        <f t="shared" si="18"/>
        <v>9</v>
      </c>
      <c r="BN30" s="83">
        <f t="shared" si="19"/>
        <v>69.230769230769226</v>
      </c>
      <c r="BO30" s="83">
        <f t="shared" si="20"/>
        <v>3</v>
      </c>
      <c r="BP30" s="83">
        <f t="shared" si="21"/>
        <v>37.5</v>
      </c>
      <c r="BQ30" s="83">
        <f t="shared" si="22"/>
        <v>1</v>
      </c>
      <c r="BR30" s="83">
        <f t="shared" si="23"/>
        <v>20</v>
      </c>
      <c r="BS30" s="82">
        <f t="shared" si="24"/>
        <v>0</v>
      </c>
      <c r="BT30" s="81">
        <f t="shared" si="25"/>
        <v>0</v>
      </c>
      <c r="BW30" s="86">
        <f t="shared" si="0"/>
        <v>7</v>
      </c>
      <c r="BX30" s="86">
        <f t="shared" si="26"/>
        <v>70</v>
      </c>
      <c r="BY30" s="86">
        <f t="shared" si="1"/>
        <v>8</v>
      </c>
      <c r="BZ30" s="86">
        <f t="shared" si="27"/>
        <v>50</v>
      </c>
    </row>
    <row r="31" spans="1:78" x14ac:dyDescent="0.25">
      <c r="A31" s="5" t="s">
        <v>26</v>
      </c>
      <c r="B31" s="4" t="s">
        <v>37</v>
      </c>
      <c r="C31" s="7" t="s">
        <v>41</v>
      </c>
      <c r="D31" s="46">
        <v>0</v>
      </c>
      <c r="E31" s="47">
        <v>3</v>
      </c>
      <c r="F31" s="48">
        <v>2</v>
      </c>
      <c r="G31" s="57">
        <v>1</v>
      </c>
      <c r="H31" s="58">
        <v>0</v>
      </c>
      <c r="I31" s="59">
        <v>4</v>
      </c>
      <c r="J31" s="46">
        <v>1</v>
      </c>
      <c r="K31" s="47">
        <v>1</v>
      </c>
      <c r="L31" s="47">
        <v>3</v>
      </c>
      <c r="M31" s="47">
        <v>3</v>
      </c>
      <c r="N31" s="47">
        <v>1</v>
      </c>
      <c r="O31" s="48">
        <v>2</v>
      </c>
      <c r="P31" s="60">
        <v>2</v>
      </c>
      <c r="Q31" s="58">
        <v>2</v>
      </c>
      <c r="R31" s="58">
        <v>0</v>
      </c>
      <c r="S31" s="61">
        <v>1</v>
      </c>
      <c r="T31" s="76">
        <v>1</v>
      </c>
      <c r="U31" s="46">
        <v>3</v>
      </c>
      <c r="V31" s="47">
        <v>2</v>
      </c>
      <c r="W31" s="48">
        <v>0</v>
      </c>
      <c r="X31" s="57">
        <v>2</v>
      </c>
      <c r="Y31" s="58">
        <v>1</v>
      </c>
      <c r="Z31" s="61">
        <v>2</v>
      </c>
      <c r="AA31" s="46">
        <v>1</v>
      </c>
      <c r="AB31" s="47">
        <v>1</v>
      </c>
      <c r="AC31" s="47">
        <v>2</v>
      </c>
      <c r="AD31" s="47">
        <v>1</v>
      </c>
      <c r="AE31" s="47">
        <v>3</v>
      </c>
      <c r="AF31" s="48">
        <v>2</v>
      </c>
      <c r="AG31" s="57">
        <v>1</v>
      </c>
      <c r="AH31" s="58">
        <v>3</v>
      </c>
      <c r="AI31" s="58">
        <v>1</v>
      </c>
      <c r="AJ31" s="58">
        <v>2</v>
      </c>
      <c r="AK31" s="59">
        <v>1</v>
      </c>
      <c r="AL31" s="61">
        <v>2</v>
      </c>
      <c r="AM31" s="46">
        <v>1</v>
      </c>
      <c r="AN31" s="47">
        <v>0</v>
      </c>
      <c r="AO31" s="48">
        <v>1</v>
      </c>
      <c r="AP31" s="57">
        <v>1</v>
      </c>
      <c r="AQ31" s="58">
        <v>1</v>
      </c>
      <c r="AR31" s="58">
        <v>0</v>
      </c>
      <c r="AS31" s="61">
        <v>0</v>
      </c>
      <c r="AT31" s="62">
        <v>2</v>
      </c>
      <c r="AU31" s="47">
        <v>4</v>
      </c>
      <c r="AV31" s="79">
        <f t="shared" si="2"/>
        <v>67</v>
      </c>
      <c r="AW31" s="80">
        <f t="shared" si="3"/>
        <v>72.043010752688176</v>
      </c>
      <c r="AY31" s="83">
        <f t="shared" si="4"/>
        <v>6</v>
      </c>
      <c r="AZ31" s="83">
        <f t="shared" si="5"/>
        <v>85.714285714285708</v>
      </c>
      <c r="BA31" s="83">
        <f t="shared" si="6"/>
        <v>5</v>
      </c>
      <c r="BB31" s="83">
        <f t="shared" si="7"/>
        <v>71.428571428571431</v>
      </c>
      <c r="BC31" s="83">
        <f t="shared" si="8"/>
        <v>11</v>
      </c>
      <c r="BD31" s="83">
        <f t="shared" si="9"/>
        <v>84.615384615384613</v>
      </c>
      <c r="BE31" s="83">
        <f t="shared" si="10"/>
        <v>6</v>
      </c>
      <c r="BF31" s="83">
        <f t="shared" si="11"/>
        <v>66.666666666666657</v>
      </c>
      <c r="BG31" s="83">
        <f t="shared" si="12"/>
        <v>5</v>
      </c>
      <c r="BH31" s="83">
        <f t="shared" si="13"/>
        <v>71.428571428571431</v>
      </c>
      <c r="BI31" s="83">
        <f t="shared" si="14"/>
        <v>5</v>
      </c>
      <c r="BJ31" s="83">
        <f t="shared" si="15"/>
        <v>55.555555555555557</v>
      </c>
      <c r="BK31" s="83">
        <f t="shared" si="16"/>
        <v>10</v>
      </c>
      <c r="BL31" s="83">
        <f t="shared" si="17"/>
        <v>100</v>
      </c>
      <c r="BM31" s="83">
        <f t="shared" si="18"/>
        <v>10</v>
      </c>
      <c r="BN31" s="83">
        <f t="shared" si="19"/>
        <v>76.923076923076934</v>
      </c>
      <c r="BO31" s="83">
        <f t="shared" si="20"/>
        <v>2</v>
      </c>
      <c r="BP31" s="83">
        <f t="shared" si="21"/>
        <v>25</v>
      </c>
      <c r="BQ31" s="83">
        <f t="shared" si="22"/>
        <v>2</v>
      </c>
      <c r="BR31" s="83">
        <f t="shared" si="23"/>
        <v>40</v>
      </c>
      <c r="BS31" s="82">
        <f t="shared" si="24"/>
        <v>6</v>
      </c>
      <c r="BT31" s="81">
        <f t="shared" si="25"/>
        <v>100</v>
      </c>
      <c r="BW31" s="86">
        <f t="shared" si="0"/>
        <v>8</v>
      </c>
      <c r="BX31" s="86">
        <f t="shared" si="26"/>
        <v>80</v>
      </c>
      <c r="BY31" s="86">
        <f t="shared" si="1"/>
        <v>9</v>
      </c>
      <c r="BZ31" s="86">
        <f t="shared" si="27"/>
        <v>56.25</v>
      </c>
    </row>
    <row r="32" spans="1:78" x14ac:dyDescent="0.25">
      <c r="A32" s="5" t="s">
        <v>26</v>
      </c>
      <c r="B32" s="4" t="s">
        <v>38</v>
      </c>
      <c r="C32" s="7" t="s">
        <v>7</v>
      </c>
      <c r="D32" s="46">
        <v>0</v>
      </c>
      <c r="E32" s="47">
        <v>0</v>
      </c>
      <c r="F32" s="48">
        <v>0</v>
      </c>
      <c r="G32" s="57">
        <v>1</v>
      </c>
      <c r="H32" s="58">
        <v>2</v>
      </c>
      <c r="I32" s="59">
        <v>4</v>
      </c>
      <c r="J32" s="46">
        <v>1</v>
      </c>
      <c r="K32" s="47">
        <v>1</v>
      </c>
      <c r="L32" s="47">
        <v>3</v>
      </c>
      <c r="M32" s="47">
        <v>3</v>
      </c>
      <c r="N32" s="47">
        <v>1</v>
      </c>
      <c r="O32" s="48">
        <v>3</v>
      </c>
      <c r="P32" s="60">
        <v>1</v>
      </c>
      <c r="Q32" s="58">
        <v>0</v>
      </c>
      <c r="R32" s="58">
        <v>0</v>
      </c>
      <c r="S32" s="61">
        <v>0</v>
      </c>
      <c r="T32" s="76">
        <v>0</v>
      </c>
      <c r="U32" s="46">
        <v>3</v>
      </c>
      <c r="V32" s="47">
        <v>2</v>
      </c>
      <c r="W32" s="48">
        <v>2</v>
      </c>
      <c r="X32" s="57">
        <v>2</v>
      </c>
      <c r="Y32" s="58">
        <v>2</v>
      </c>
      <c r="Z32" s="61">
        <v>4</v>
      </c>
      <c r="AA32" s="46">
        <v>1</v>
      </c>
      <c r="AB32" s="47">
        <v>0</v>
      </c>
      <c r="AC32" s="47">
        <v>2</v>
      </c>
      <c r="AD32" s="47">
        <v>0</v>
      </c>
      <c r="AE32" s="47">
        <v>3</v>
      </c>
      <c r="AF32" s="48">
        <v>0</v>
      </c>
      <c r="AG32" s="57">
        <v>1</v>
      </c>
      <c r="AH32" s="58">
        <v>2</v>
      </c>
      <c r="AI32" s="58">
        <v>1</v>
      </c>
      <c r="AJ32" s="58">
        <v>0</v>
      </c>
      <c r="AK32" s="59">
        <v>0</v>
      </c>
      <c r="AL32" s="61">
        <v>2</v>
      </c>
      <c r="AM32" s="46">
        <v>1</v>
      </c>
      <c r="AN32" s="47">
        <v>2</v>
      </c>
      <c r="AO32" s="48">
        <v>2</v>
      </c>
      <c r="AP32" s="57">
        <v>0</v>
      </c>
      <c r="AQ32" s="58">
        <v>0</v>
      </c>
      <c r="AR32" s="58">
        <v>1</v>
      </c>
      <c r="AS32" s="61">
        <v>0</v>
      </c>
      <c r="AT32" s="62">
        <v>0</v>
      </c>
      <c r="AU32" s="47">
        <v>0</v>
      </c>
      <c r="AV32" s="79">
        <f t="shared" si="2"/>
        <v>53</v>
      </c>
      <c r="AW32" s="80">
        <f t="shared" si="3"/>
        <v>56.98924731182796</v>
      </c>
      <c r="AY32" s="83">
        <f t="shared" si="4"/>
        <v>1</v>
      </c>
      <c r="AZ32" s="83">
        <f t="shared" si="5"/>
        <v>14.285714285714285</v>
      </c>
      <c r="BA32" s="83">
        <f t="shared" si="6"/>
        <v>7</v>
      </c>
      <c r="BB32" s="83">
        <f t="shared" si="7"/>
        <v>100</v>
      </c>
      <c r="BC32" s="83">
        <f t="shared" si="8"/>
        <v>12</v>
      </c>
      <c r="BD32" s="83">
        <f t="shared" si="9"/>
        <v>92.307692307692307</v>
      </c>
      <c r="BE32" s="83">
        <f t="shared" si="10"/>
        <v>1</v>
      </c>
      <c r="BF32" s="83">
        <f t="shared" si="11"/>
        <v>11.111111111111111</v>
      </c>
      <c r="BG32" s="83">
        <f t="shared" si="12"/>
        <v>7</v>
      </c>
      <c r="BH32" s="83">
        <f t="shared" si="13"/>
        <v>100</v>
      </c>
      <c r="BI32" s="83">
        <f t="shared" si="14"/>
        <v>8</v>
      </c>
      <c r="BJ32" s="83">
        <f t="shared" si="15"/>
        <v>88.888888888888886</v>
      </c>
      <c r="BK32" s="83">
        <f t="shared" si="16"/>
        <v>6</v>
      </c>
      <c r="BL32" s="83">
        <f t="shared" si="17"/>
        <v>60</v>
      </c>
      <c r="BM32" s="83">
        <f t="shared" si="18"/>
        <v>6</v>
      </c>
      <c r="BN32" s="83">
        <f t="shared" si="19"/>
        <v>46.153846153846153</v>
      </c>
      <c r="BO32" s="83">
        <f t="shared" si="20"/>
        <v>5</v>
      </c>
      <c r="BP32" s="83">
        <f t="shared" si="21"/>
        <v>62.5</v>
      </c>
      <c r="BQ32" s="83">
        <f t="shared" si="22"/>
        <v>1</v>
      </c>
      <c r="BR32" s="83">
        <f t="shared" si="23"/>
        <v>20</v>
      </c>
      <c r="BS32" s="82">
        <f t="shared" si="24"/>
        <v>0</v>
      </c>
      <c r="BT32" s="81">
        <f t="shared" si="25"/>
        <v>0</v>
      </c>
      <c r="BW32" s="86">
        <f t="shared" si="0"/>
        <v>6</v>
      </c>
      <c r="BX32" s="86">
        <f t="shared" si="26"/>
        <v>60</v>
      </c>
      <c r="BY32" s="86">
        <f t="shared" si="1"/>
        <v>9</v>
      </c>
      <c r="BZ32" s="86">
        <f t="shared" si="27"/>
        <v>56.25</v>
      </c>
    </row>
    <row r="33" spans="1:78" ht="15.75" thickBot="1" x14ac:dyDescent="0.3">
      <c r="A33" s="5" t="s">
        <v>26</v>
      </c>
      <c r="B33" s="4" t="s">
        <v>39</v>
      </c>
      <c r="C33" s="7" t="s">
        <v>40</v>
      </c>
      <c r="D33" s="63">
        <v>1</v>
      </c>
      <c r="E33" s="64">
        <v>2</v>
      </c>
      <c r="F33" s="65">
        <v>2</v>
      </c>
      <c r="G33" s="66">
        <v>1</v>
      </c>
      <c r="H33" s="67">
        <v>2</v>
      </c>
      <c r="I33" s="68">
        <v>2</v>
      </c>
      <c r="J33" s="63">
        <v>1</v>
      </c>
      <c r="K33" s="64">
        <v>1</v>
      </c>
      <c r="L33" s="64">
        <v>2</v>
      </c>
      <c r="M33" s="64">
        <v>1</v>
      </c>
      <c r="N33" s="64">
        <v>0</v>
      </c>
      <c r="O33" s="65">
        <v>2</v>
      </c>
      <c r="P33" s="69">
        <v>2</v>
      </c>
      <c r="Q33" s="67">
        <v>1</v>
      </c>
      <c r="R33" s="67">
        <v>0</v>
      </c>
      <c r="S33" s="70">
        <v>1</v>
      </c>
      <c r="T33" s="77">
        <v>2</v>
      </c>
      <c r="U33" s="63">
        <v>3</v>
      </c>
      <c r="V33" s="64">
        <v>1</v>
      </c>
      <c r="W33" s="65">
        <v>2</v>
      </c>
      <c r="X33" s="66">
        <v>2</v>
      </c>
      <c r="Y33" s="67">
        <v>2</v>
      </c>
      <c r="Z33" s="70">
        <v>0</v>
      </c>
      <c r="AA33" s="63">
        <v>0</v>
      </c>
      <c r="AB33" s="64">
        <v>0</v>
      </c>
      <c r="AC33" s="64">
        <v>0</v>
      </c>
      <c r="AD33" s="64">
        <v>0</v>
      </c>
      <c r="AE33" s="64">
        <v>3</v>
      </c>
      <c r="AF33" s="65">
        <v>0</v>
      </c>
      <c r="AG33" s="66">
        <v>1</v>
      </c>
      <c r="AH33" s="67">
        <v>0</v>
      </c>
      <c r="AI33" s="67">
        <v>1</v>
      </c>
      <c r="AJ33" s="67">
        <v>0</v>
      </c>
      <c r="AK33" s="68">
        <v>0</v>
      </c>
      <c r="AL33" s="70">
        <v>1</v>
      </c>
      <c r="AM33" s="63">
        <v>0</v>
      </c>
      <c r="AN33" s="64">
        <v>0</v>
      </c>
      <c r="AO33" s="65">
        <v>2</v>
      </c>
      <c r="AP33" s="66">
        <v>0</v>
      </c>
      <c r="AQ33" s="67">
        <v>0</v>
      </c>
      <c r="AR33" s="67">
        <v>0</v>
      </c>
      <c r="AS33" s="70">
        <v>0</v>
      </c>
      <c r="AT33" s="71">
        <v>0</v>
      </c>
      <c r="AU33" s="64">
        <v>0</v>
      </c>
      <c r="AV33" s="79">
        <f t="shared" si="2"/>
        <v>41</v>
      </c>
      <c r="AW33" s="80">
        <f t="shared" si="3"/>
        <v>44.086021505376344</v>
      </c>
      <c r="AY33" s="83">
        <f t="shared" si="4"/>
        <v>6</v>
      </c>
      <c r="AZ33" s="83">
        <f t="shared" si="5"/>
        <v>85.714285714285708</v>
      </c>
      <c r="BA33" s="83">
        <f t="shared" si="6"/>
        <v>5</v>
      </c>
      <c r="BB33" s="83">
        <f t="shared" si="7"/>
        <v>71.428571428571431</v>
      </c>
      <c r="BC33" s="83">
        <f t="shared" si="8"/>
        <v>7</v>
      </c>
      <c r="BD33" s="83">
        <f t="shared" si="9"/>
        <v>53.846153846153847</v>
      </c>
      <c r="BE33" s="83">
        <f t="shared" si="10"/>
        <v>6</v>
      </c>
      <c r="BF33" s="83">
        <f t="shared" si="11"/>
        <v>66.666666666666657</v>
      </c>
      <c r="BG33" s="83">
        <f t="shared" si="12"/>
        <v>6</v>
      </c>
      <c r="BH33" s="83">
        <f t="shared" si="13"/>
        <v>85.714285714285708</v>
      </c>
      <c r="BI33" s="83">
        <f t="shared" si="14"/>
        <v>4</v>
      </c>
      <c r="BJ33" s="83">
        <f t="shared" si="15"/>
        <v>44.444444444444443</v>
      </c>
      <c r="BK33" s="83">
        <f t="shared" si="16"/>
        <v>3</v>
      </c>
      <c r="BL33" s="83">
        <f t="shared" si="17"/>
        <v>30</v>
      </c>
      <c r="BM33" s="83">
        <f t="shared" si="18"/>
        <v>3</v>
      </c>
      <c r="BN33" s="83">
        <f t="shared" si="19"/>
        <v>23.076923076923077</v>
      </c>
      <c r="BO33" s="83">
        <f t="shared" si="20"/>
        <v>2</v>
      </c>
      <c r="BP33" s="83">
        <f t="shared" si="21"/>
        <v>25</v>
      </c>
      <c r="BQ33" s="83">
        <f t="shared" si="22"/>
        <v>0</v>
      </c>
      <c r="BR33" s="83">
        <f t="shared" si="23"/>
        <v>0</v>
      </c>
      <c r="BS33" s="82">
        <f t="shared" si="24"/>
        <v>0</v>
      </c>
      <c r="BT33" s="81">
        <f t="shared" si="25"/>
        <v>0</v>
      </c>
      <c r="BW33" s="86">
        <f t="shared" si="0"/>
        <v>3</v>
      </c>
      <c r="BX33" s="86">
        <f t="shared" si="26"/>
        <v>30</v>
      </c>
      <c r="BY33" s="86">
        <f t="shared" si="1"/>
        <v>6</v>
      </c>
      <c r="BZ33" s="86">
        <f t="shared" si="27"/>
        <v>37.5</v>
      </c>
    </row>
    <row r="37" spans="1:78" x14ac:dyDescent="0.25">
      <c r="A37" t="s">
        <v>92</v>
      </c>
      <c r="B37" t="s">
        <v>93</v>
      </c>
      <c r="C37" t="s">
        <v>77</v>
      </c>
      <c r="D37" t="s">
        <v>79</v>
      </c>
      <c r="E37" t="s">
        <v>80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86</v>
      </c>
      <c r="L37" t="s">
        <v>87</v>
      </c>
      <c r="M37" t="s">
        <v>88</v>
      </c>
      <c r="N37" t="s">
        <v>89</v>
      </c>
      <c r="O37" t="s">
        <v>90</v>
      </c>
      <c r="P37" t="s">
        <v>91</v>
      </c>
      <c r="AP37" s="84"/>
      <c r="AQ37" s="84"/>
      <c r="BA37"/>
      <c r="BB37"/>
      <c r="BC37"/>
      <c r="BD37"/>
    </row>
    <row r="38" spans="1:78" x14ac:dyDescent="0.25">
      <c r="A38" t="s">
        <v>94</v>
      </c>
      <c r="B38" t="s">
        <v>95</v>
      </c>
      <c r="C38" s="86">
        <v>89.247311827957006</v>
      </c>
      <c r="D38" s="86">
        <v>100</v>
      </c>
      <c r="E38" s="86">
        <v>100</v>
      </c>
      <c r="F38" s="86">
        <v>92.307692307692307</v>
      </c>
      <c r="G38" s="86">
        <v>85.714285714285708</v>
      </c>
      <c r="H38" s="86">
        <v>100</v>
      </c>
      <c r="I38" s="86">
        <v>80</v>
      </c>
      <c r="J38" s="86">
        <v>76.923076923076934</v>
      </c>
      <c r="K38" s="86">
        <v>75</v>
      </c>
      <c r="L38" s="86">
        <v>100</v>
      </c>
      <c r="M38" s="86">
        <v>100</v>
      </c>
      <c r="N38" s="86">
        <v>88.888888888888886</v>
      </c>
      <c r="O38" s="86">
        <v>90</v>
      </c>
      <c r="P38" s="86">
        <v>62.5</v>
      </c>
      <c r="AP38" s="84"/>
      <c r="AQ38" s="84"/>
      <c r="BA38"/>
      <c r="BB38"/>
      <c r="BC38"/>
      <c r="BD38"/>
    </row>
    <row r="39" spans="1:78" x14ac:dyDescent="0.25">
      <c r="A39" t="s">
        <v>96</v>
      </c>
      <c r="B39" t="s">
        <v>97</v>
      </c>
      <c r="C39" s="86">
        <v>54.838709677419352</v>
      </c>
      <c r="D39" s="86">
        <v>85.714285714285708</v>
      </c>
      <c r="E39" s="86">
        <v>100</v>
      </c>
      <c r="F39" s="86">
        <v>53.846153846153847</v>
      </c>
      <c r="G39" s="86">
        <v>100</v>
      </c>
      <c r="H39" s="86">
        <v>11.111111111111111</v>
      </c>
      <c r="I39" s="86">
        <v>50</v>
      </c>
      <c r="J39" s="86">
        <v>61.53846153846154</v>
      </c>
      <c r="K39" s="86">
        <v>37.5</v>
      </c>
      <c r="L39" s="86">
        <v>0</v>
      </c>
      <c r="M39" s="86">
        <v>33.333333333333329</v>
      </c>
      <c r="N39" s="86">
        <v>66.666666666666657</v>
      </c>
      <c r="O39" s="86">
        <v>50</v>
      </c>
      <c r="P39" s="86">
        <v>62.5</v>
      </c>
      <c r="AP39" s="84"/>
      <c r="AQ39" s="84"/>
      <c r="BA39"/>
      <c r="BB39"/>
      <c r="BC39"/>
      <c r="BD39"/>
    </row>
    <row r="40" spans="1:78" x14ac:dyDescent="0.25">
      <c r="A40" t="s">
        <v>98</v>
      </c>
      <c r="B40" t="s">
        <v>99</v>
      </c>
      <c r="C40" s="86">
        <v>81.72043010752688</v>
      </c>
      <c r="D40" s="86">
        <v>85.714285714285708</v>
      </c>
      <c r="E40" s="86">
        <v>100</v>
      </c>
      <c r="F40" s="86">
        <v>84.615384615384613</v>
      </c>
      <c r="G40" s="86">
        <v>71.428571428571431</v>
      </c>
      <c r="H40" s="86">
        <v>44.444444444444443</v>
      </c>
      <c r="I40" s="86">
        <v>80</v>
      </c>
      <c r="J40" s="86">
        <v>76.923076923076934</v>
      </c>
      <c r="K40" s="86">
        <v>100</v>
      </c>
      <c r="L40" s="86">
        <v>60</v>
      </c>
      <c r="M40" s="86">
        <v>100</v>
      </c>
      <c r="N40" s="86">
        <v>100</v>
      </c>
      <c r="O40" s="86">
        <v>70</v>
      </c>
      <c r="P40" s="86">
        <v>75</v>
      </c>
      <c r="AP40" s="84"/>
      <c r="AQ40" s="84"/>
      <c r="BA40"/>
      <c r="BB40"/>
      <c r="BC40"/>
      <c r="BD40"/>
    </row>
    <row r="41" spans="1:78" x14ac:dyDescent="0.25">
      <c r="A41" t="s">
        <v>100</v>
      </c>
      <c r="B41" t="s">
        <v>101</v>
      </c>
      <c r="C41" s="86">
        <v>66.666666666666657</v>
      </c>
      <c r="D41" s="86">
        <v>57.142857142857139</v>
      </c>
      <c r="E41" s="86">
        <v>100</v>
      </c>
      <c r="F41" s="86">
        <v>92.307692307692307</v>
      </c>
      <c r="G41" s="86">
        <v>71.428571428571431</v>
      </c>
      <c r="H41" s="86">
        <v>88.888888888888886</v>
      </c>
      <c r="I41" s="86">
        <v>80</v>
      </c>
      <c r="J41" s="86">
        <v>53.846153846153847</v>
      </c>
      <c r="K41" s="86">
        <v>25</v>
      </c>
      <c r="L41" s="86">
        <v>40</v>
      </c>
      <c r="M41" s="86">
        <v>33.333333333333329</v>
      </c>
      <c r="N41" s="86">
        <v>66.666666666666657</v>
      </c>
      <c r="O41" s="86">
        <v>50</v>
      </c>
      <c r="P41" s="86">
        <v>37.5</v>
      </c>
      <c r="AP41" s="84"/>
      <c r="AQ41" s="84"/>
      <c r="BA41"/>
      <c r="BB41"/>
      <c r="BC41"/>
      <c r="BD41"/>
    </row>
    <row r="42" spans="1:78" x14ac:dyDescent="0.25">
      <c r="A42" t="s">
        <v>102</v>
      </c>
      <c r="B42" t="s">
        <v>103</v>
      </c>
      <c r="C42" s="86">
        <v>80.645161290322577</v>
      </c>
      <c r="D42" s="86">
        <v>100</v>
      </c>
      <c r="E42" s="86">
        <v>100</v>
      </c>
      <c r="F42" s="86">
        <v>92.307692307692307</v>
      </c>
      <c r="G42" s="86">
        <v>71.428571428571431</v>
      </c>
      <c r="H42" s="86">
        <v>44.444444444444443</v>
      </c>
      <c r="I42" s="86">
        <v>60</v>
      </c>
      <c r="J42" s="86">
        <v>69.230769230769226</v>
      </c>
      <c r="K42" s="86">
        <v>100</v>
      </c>
      <c r="L42" s="86">
        <v>60</v>
      </c>
      <c r="M42" s="86">
        <v>100</v>
      </c>
      <c r="N42" s="86">
        <v>100</v>
      </c>
      <c r="O42" s="86">
        <v>70</v>
      </c>
      <c r="P42" s="86">
        <v>56.25</v>
      </c>
      <c r="AP42" s="84"/>
      <c r="AQ42" s="84"/>
      <c r="BA42"/>
      <c r="BB42"/>
      <c r="BC42"/>
      <c r="BD42"/>
    </row>
    <row r="43" spans="1:78" x14ac:dyDescent="0.25">
      <c r="A43" t="s">
        <v>104</v>
      </c>
      <c r="B43" t="s">
        <v>105</v>
      </c>
      <c r="C43" s="86">
        <v>65.591397849462368</v>
      </c>
      <c r="D43" s="86">
        <v>57.142857142857139</v>
      </c>
      <c r="E43" s="86">
        <v>100</v>
      </c>
      <c r="F43" s="86">
        <v>76.923076923076934</v>
      </c>
      <c r="G43" s="86">
        <v>71.428571428571431</v>
      </c>
      <c r="H43" s="86">
        <v>100</v>
      </c>
      <c r="I43" s="86">
        <v>60</v>
      </c>
      <c r="J43" s="86">
        <v>38.461538461538467</v>
      </c>
      <c r="K43" s="86">
        <v>37.5</v>
      </c>
      <c r="L43" s="86">
        <v>60</v>
      </c>
      <c r="M43" s="86">
        <v>33.333333333333329</v>
      </c>
      <c r="N43" s="86">
        <v>77.777777777777786</v>
      </c>
      <c r="O43" s="86">
        <v>70</v>
      </c>
      <c r="P43" s="86">
        <v>31.25</v>
      </c>
      <c r="AP43" s="84"/>
      <c r="AQ43" s="84"/>
      <c r="BA43"/>
      <c r="BB43"/>
      <c r="BC43"/>
      <c r="BD43"/>
    </row>
    <row r="44" spans="1:78" x14ac:dyDescent="0.25">
      <c r="A44" t="s">
        <v>106</v>
      </c>
      <c r="B44" t="s">
        <v>107</v>
      </c>
      <c r="C44" s="86">
        <v>55.913978494623649</v>
      </c>
      <c r="D44" s="86">
        <v>71.428571428571431</v>
      </c>
      <c r="E44" s="86">
        <v>85.714285714285708</v>
      </c>
      <c r="F44" s="86">
        <v>69.230769230769226</v>
      </c>
      <c r="G44" s="86">
        <v>100</v>
      </c>
      <c r="H44" s="86">
        <v>100</v>
      </c>
      <c r="I44" s="86">
        <v>40</v>
      </c>
      <c r="J44" s="86">
        <v>46.153846153846153</v>
      </c>
      <c r="K44" s="86">
        <v>0</v>
      </c>
      <c r="L44" s="86">
        <v>0</v>
      </c>
      <c r="M44" s="86">
        <v>0</v>
      </c>
      <c r="N44" s="86">
        <v>66.666666666666657</v>
      </c>
      <c r="O44" s="86">
        <v>50</v>
      </c>
      <c r="P44" s="86">
        <v>31.25</v>
      </c>
      <c r="AP44" s="84"/>
      <c r="AQ44" s="84"/>
      <c r="BA44"/>
      <c r="BB44"/>
      <c r="BC44"/>
      <c r="BD44"/>
    </row>
    <row r="45" spans="1:78" x14ac:dyDescent="0.25">
      <c r="A45" t="s">
        <v>108</v>
      </c>
      <c r="B45" t="s">
        <v>109</v>
      </c>
      <c r="C45" s="86">
        <v>86.021505376344081</v>
      </c>
      <c r="D45" s="86">
        <v>100</v>
      </c>
      <c r="E45" s="86">
        <v>100</v>
      </c>
      <c r="F45" s="86">
        <v>92.307692307692307</v>
      </c>
      <c r="G45" s="86">
        <v>100</v>
      </c>
      <c r="H45" s="86">
        <v>100</v>
      </c>
      <c r="I45" s="86">
        <v>70</v>
      </c>
      <c r="J45" s="86">
        <v>69.230769230769226</v>
      </c>
      <c r="K45" s="86">
        <v>37.5</v>
      </c>
      <c r="L45" s="86">
        <v>100</v>
      </c>
      <c r="M45" s="86">
        <v>100</v>
      </c>
      <c r="N45" s="86">
        <v>100</v>
      </c>
      <c r="O45" s="86">
        <v>80</v>
      </c>
      <c r="P45" s="86">
        <v>62.5</v>
      </c>
      <c r="AP45" s="84"/>
      <c r="AQ45" s="84"/>
      <c r="BA45"/>
      <c r="BB45"/>
      <c r="BC45"/>
      <c r="BD45"/>
    </row>
    <row r="46" spans="1:78" x14ac:dyDescent="0.25">
      <c r="A46" t="s">
        <v>110</v>
      </c>
      <c r="B46" t="s">
        <v>99</v>
      </c>
      <c r="C46" s="86">
        <v>70.967741935483872</v>
      </c>
      <c r="D46" s="86">
        <v>100</v>
      </c>
      <c r="E46" s="86">
        <v>100</v>
      </c>
      <c r="F46" s="86">
        <v>69.230769230769226</v>
      </c>
      <c r="G46" s="86">
        <v>100</v>
      </c>
      <c r="H46" s="86">
        <v>33.333333333333329</v>
      </c>
      <c r="I46" s="86">
        <v>60</v>
      </c>
      <c r="J46" s="86">
        <v>76.923076923076934</v>
      </c>
      <c r="K46" s="86">
        <v>62.5</v>
      </c>
      <c r="L46" s="86">
        <v>60</v>
      </c>
      <c r="M46" s="86">
        <v>16.666666666666664</v>
      </c>
      <c r="N46" s="86">
        <v>100</v>
      </c>
      <c r="O46" s="86">
        <v>50</v>
      </c>
      <c r="P46" s="86">
        <v>68.75</v>
      </c>
      <c r="AP46" s="84"/>
      <c r="AQ46" s="84"/>
      <c r="BA46"/>
      <c r="BB46"/>
      <c r="BC46"/>
      <c r="BD46"/>
    </row>
    <row r="47" spans="1:78" x14ac:dyDescent="0.25">
      <c r="A47" t="s">
        <v>111</v>
      </c>
      <c r="B47" t="s">
        <v>112</v>
      </c>
      <c r="C47" s="86">
        <v>96.774193548387103</v>
      </c>
      <c r="D47" s="86">
        <v>100</v>
      </c>
      <c r="E47" s="86">
        <v>100</v>
      </c>
      <c r="F47" s="86">
        <v>100</v>
      </c>
      <c r="G47" s="86">
        <v>71.428571428571431</v>
      </c>
      <c r="H47" s="86">
        <v>100</v>
      </c>
      <c r="I47" s="86">
        <v>100</v>
      </c>
      <c r="J47" s="86">
        <v>100</v>
      </c>
      <c r="K47" s="86">
        <v>100</v>
      </c>
      <c r="L47" s="86">
        <v>80</v>
      </c>
      <c r="M47" s="86">
        <v>100</v>
      </c>
      <c r="N47" s="86">
        <v>100</v>
      </c>
      <c r="O47" s="86">
        <v>90</v>
      </c>
      <c r="P47" s="86">
        <v>75</v>
      </c>
      <c r="AP47" s="84"/>
      <c r="AQ47" s="84"/>
      <c r="BA47"/>
      <c r="BB47"/>
      <c r="BC47"/>
      <c r="BD47"/>
    </row>
    <row r="48" spans="1:78" x14ac:dyDescent="0.25">
      <c r="A48" t="s">
        <v>113</v>
      </c>
      <c r="B48" t="s">
        <v>114</v>
      </c>
      <c r="C48" s="86">
        <v>60.215053763440864</v>
      </c>
      <c r="D48" s="86">
        <v>85.714285714285708</v>
      </c>
      <c r="E48" s="86">
        <v>100</v>
      </c>
      <c r="F48" s="86">
        <v>61.53846153846154</v>
      </c>
      <c r="G48" s="86">
        <v>71.428571428571431</v>
      </c>
      <c r="H48" s="86">
        <v>77.777777777777786</v>
      </c>
      <c r="I48" s="86">
        <v>60</v>
      </c>
      <c r="J48" s="86">
        <v>30.76923076923077</v>
      </c>
      <c r="K48" s="86">
        <v>62.5</v>
      </c>
      <c r="L48" s="86">
        <v>0</v>
      </c>
      <c r="M48" s="86">
        <v>0</v>
      </c>
      <c r="N48" s="86">
        <v>88.888888888888886</v>
      </c>
      <c r="O48" s="86">
        <v>50</v>
      </c>
      <c r="P48" s="86">
        <v>18.75</v>
      </c>
      <c r="AP48" s="84"/>
      <c r="AQ48" s="84"/>
      <c r="BA48"/>
      <c r="BB48"/>
      <c r="BC48"/>
      <c r="BD48"/>
    </row>
    <row r="49" spans="1:56" x14ac:dyDescent="0.25">
      <c r="A49" t="s">
        <v>115</v>
      </c>
      <c r="B49" t="s">
        <v>116</v>
      </c>
      <c r="C49" s="86">
        <v>76.344086021505376</v>
      </c>
      <c r="D49" s="86">
        <v>71.428571428571431</v>
      </c>
      <c r="E49" s="86">
        <v>85.714285714285708</v>
      </c>
      <c r="F49" s="86">
        <v>92.307692307692307</v>
      </c>
      <c r="G49" s="86">
        <v>100</v>
      </c>
      <c r="H49" s="86">
        <v>100</v>
      </c>
      <c r="I49" s="86">
        <v>70</v>
      </c>
      <c r="J49" s="86">
        <v>69.230769230769226</v>
      </c>
      <c r="K49" s="86">
        <v>37.5</v>
      </c>
      <c r="L49" s="86">
        <v>80</v>
      </c>
      <c r="M49" s="86">
        <v>33.333333333333329</v>
      </c>
      <c r="N49" s="86">
        <v>88.888888888888886</v>
      </c>
      <c r="O49" s="86">
        <v>60</v>
      </c>
      <c r="P49" s="86">
        <v>56.25</v>
      </c>
      <c r="AP49" s="84"/>
      <c r="AQ49" s="84"/>
      <c r="BA49"/>
      <c r="BB49"/>
      <c r="BC49"/>
      <c r="BD49"/>
    </row>
    <row r="50" spans="1:56" x14ac:dyDescent="0.25">
      <c r="A50" t="s">
        <v>117</v>
      </c>
      <c r="B50" t="s">
        <v>118</v>
      </c>
      <c r="C50" s="86">
        <v>66.666666666666657</v>
      </c>
      <c r="D50" s="86">
        <v>85.714285714285708</v>
      </c>
      <c r="E50" s="86">
        <v>100</v>
      </c>
      <c r="F50" s="86">
        <v>69.230769230769226</v>
      </c>
      <c r="G50" s="86">
        <v>71.428571428571431</v>
      </c>
      <c r="H50" s="86">
        <v>55.555555555555557</v>
      </c>
      <c r="I50" s="86">
        <v>40</v>
      </c>
      <c r="J50" s="86">
        <v>69.230769230769226</v>
      </c>
      <c r="K50" s="86">
        <v>62.5</v>
      </c>
      <c r="L50" s="86">
        <v>40</v>
      </c>
      <c r="M50" s="86">
        <v>33.333333333333329</v>
      </c>
      <c r="N50" s="86">
        <v>100</v>
      </c>
      <c r="O50" s="86">
        <v>70</v>
      </c>
      <c r="P50" s="86">
        <v>37.5</v>
      </c>
      <c r="AP50" s="84"/>
      <c r="AQ50" s="84"/>
      <c r="BA50"/>
      <c r="BB50"/>
      <c r="BC50"/>
      <c r="BD50"/>
    </row>
    <row r="51" spans="1:56" x14ac:dyDescent="0.25">
      <c r="A51" t="s">
        <v>119</v>
      </c>
      <c r="B51" t="s">
        <v>120</v>
      </c>
      <c r="C51" s="86">
        <v>59.13978494623656</v>
      </c>
      <c r="D51" s="86">
        <v>100</v>
      </c>
      <c r="E51" s="86">
        <v>71.428571428571431</v>
      </c>
      <c r="F51" s="86">
        <v>76.923076923076934</v>
      </c>
      <c r="G51" s="86">
        <v>85.714285714285708</v>
      </c>
      <c r="H51" s="86">
        <v>44.444444444444443</v>
      </c>
      <c r="I51" s="86">
        <v>60</v>
      </c>
      <c r="J51" s="86">
        <v>38.461538461538467</v>
      </c>
      <c r="K51" s="86">
        <v>25</v>
      </c>
      <c r="L51" s="86">
        <v>60</v>
      </c>
      <c r="M51" s="86">
        <v>0</v>
      </c>
      <c r="N51" s="86">
        <v>88.888888888888886</v>
      </c>
      <c r="O51" s="86">
        <v>50</v>
      </c>
      <c r="P51" s="86">
        <v>31.25</v>
      </c>
      <c r="AP51" s="84"/>
      <c r="AQ51" s="84"/>
      <c r="BA51"/>
      <c r="BB51"/>
      <c r="BC51"/>
      <c r="BD51"/>
    </row>
    <row r="52" spans="1:56" x14ac:dyDescent="0.25">
      <c r="A52" t="s">
        <v>121</v>
      </c>
      <c r="B52" t="s">
        <v>116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  <c r="P52" s="86">
        <v>0</v>
      </c>
      <c r="AP52" s="84"/>
      <c r="AQ52" s="84"/>
      <c r="BA52"/>
      <c r="BB52"/>
      <c r="BC52"/>
      <c r="BD52"/>
    </row>
    <row r="53" spans="1:56" x14ac:dyDescent="0.25">
      <c r="A53" t="s">
        <v>122</v>
      </c>
      <c r="B53" t="s">
        <v>107</v>
      </c>
      <c r="C53" s="86">
        <v>67.741935483870961</v>
      </c>
      <c r="D53" s="86">
        <v>71.428571428571431</v>
      </c>
      <c r="E53" s="86">
        <v>100</v>
      </c>
      <c r="F53" s="86">
        <v>100</v>
      </c>
      <c r="G53" s="86">
        <v>71.428571428571431</v>
      </c>
      <c r="H53" s="86">
        <v>66.666666666666657</v>
      </c>
      <c r="I53" s="86">
        <v>80</v>
      </c>
      <c r="J53" s="86">
        <v>61.53846153846154</v>
      </c>
      <c r="K53" s="86">
        <v>25</v>
      </c>
      <c r="L53" s="86">
        <v>40</v>
      </c>
      <c r="M53" s="86">
        <v>33.333333333333329</v>
      </c>
      <c r="N53" s="86">
        <v>66.666666666666657</v>
      </c>
      <c r="O53" s="86">
        <v>90</v>
      </c>
      <c r="P53" s="86">
        <v>43.75</v>
      </c>
      <c r="AP53" s="84"/>
      <c r="AQ53" s="84"/>
      <c r="BA53"/>
      <c r="BB53"/>
      <c r="BC53"/>
      <c r="BD53"/>
    </row>
    <row r="54" spans="1:56" x14ac:dyDescent="0.25">
      <c r="A54" t="s">
        <v>123</v>
      </c>
      <c r="B54" t="s">
        <v>124</v>
      </c>
      <c r="C54" s="86">
        <v>79.569892473118273</v>
      </c>
      <c r="D54" s="86">
        <v>100</v>
      </c>
      <c r="E54" s="86">
        <v>100</v>
      </c>
      <c r="F54" s="86">
        <v>76.923076923076934</v>
      </c>
      <c r="G54" s="86">
        <v>100</v>
      </c>
      <c r="H54" s="86">
        <v>66.666666666666657</v>
      </c>
      <c r="I54" s="86">
        <v>100</v>
      </c>
      <c r="J54" s="86">
        <v>84.615384615384613</v>
      </c>
      <c r="K54" s="86">
        <v>62.5</v>
      </c>
      <c r="L54" s="86">
        <v>40</v>
      </c>
      <c r="M54" s="86">
        <v>33.333333333333329</v>
      </c>
      <c r="N54" s="86">
        <v>88.888888888888886</v>
      </c>
      <c r="O54" s="86">
        <v>90</v>
      </c>
      <c r="P54" s="86">
        <v>50</v>
      </c>
      <c r="AP54" s="84"/>
      <c r="AQ54" s="84"/>
      <c r="BA54"/>
      <c r="BB54"/>
      <c r="BC54"/>
      <c r="BD54"/>
    </row>
    <row r="55" spans="1:56" x14ac:dyDescent="0.25">
      <c r="A55" t="s">
        <v>125</v>
      </c>
      <c r="B55" t="s">
        <v>126</v>
      </c>
      <c r="C55" s="86">
        <v>77.41935483870968</v>
      </c>
      <c r="D55" s="86">
        <v>57.142857142857139</v>
      </c>
      <c r="E55" s="86">
        <v>100</v>
      </c>
      <c r="F55" s="86">
        <v>92.307692307692307</v>
      </c>
      <c r="G55" s="86">
        <v>71.428571428571431</v>
      </c>
      <c r="H55" s="86">
        <v>100</v>
      </c>
      <c r="I55" s="86">
        <v>70</v>
      </c>
      <c r="J55" s="86">
        <v>69.230769230769226</v>
      </c>
      <c r="K55" s="86">
        <v>87.5</v>
      </c>
      <c r="L55" s="86">
        <v>100</v>
      </c>
      <c r="M55" s="86">
        <v>0</v>
      </c>
      <c r="N55" s="86">
        <v>88.888888888888886</v>
      </c>
      <c r="O55" s="86">
        <v>90</v>
      </c>
      <c r="P55" s="86">
        <v>56.25</v>
      </c>
      <c r="AP55" s="84"/>
      <c r="AQ55" s="84"/>
      <c r="BA55"/>
      <c r="BB55"/>
      <c r="BC55"/>
      <c r="BD55"/>
    </row>
    <row r="56" spans="1:56" x14ac:dyDescent="0.25">
      <c r="A56" t="s">
        <v>127</v>
      </c>
      <c r="B56" t="s">
        <v>128</v>
      </c>
      <c r="C56" s="86">
        <v>62.365591397849464</v>
      </c>
      <c r="D56" s="86">
        <v>42.857142857142854</v>
      </c>
      <c r="E56" s="86">
        <v>85.714285714285708</v>
      </c>
      <c r="F56" s="86">
        <v>76.923076923076934</v>
      </c>
      <c r="G56" s="86">
        <v>100</v>
      </c>
      <c r="H56" s="86">
        <v>44.444444444444443</v>
      </c>
      <c r="I56" s="86">
        <v>40</v>
      </c>
      <c r="J56" s="86">
        <v>84.615384615384613</v>
      </c>
      <c r="K56" s="86">
        <v>37.5</v>
      </c>
      <c r="L56" s="86">
        <v>60</v>
      </c>
      <c r="M56" s="86">
        <v>33.333333333333329</v>
      </c>
      <c r="N56" s="86">
        <v>55.555555555555557</v>
      </c>
      <c r="O56" s="86">
        <v>60</v>
      </c>
      <c r="P56" s="86">
        <v>56.25</v>
      </c>
      <c r="AP56" s="84"/>
      <c r="AQ56" s="84"/>
      <c r="BA56"/>
      <c r="BB56"/>
      <c r="BC56"/>
      <c r="BD56"/>
    </row>
    <row r="57" spans="1:56" x14ac:dyDescent="0.25">
      <c r="A57" t="s">
        <v>129</v>
      </c>
      <c r="B57" t="s">
        <v>130</v>
      </c>
      <c r="C57" s="86">
        <v>80.645161290322577</v>
      </c>
      <c r="D57" s="86">
        <v>85.714285714285708</v>
      </c>
      <c r="E57" s="86">
        <v>100</v>
      </c>
      <c r="F57" s="86">
        <v>84.615384615384613</v>
      </c>
      <c r="G57" s="86">
        <v>100</v>
      </c>
      <c r="H57" s="86">
        <v>100</v>
      </c>
      <c r="I57" s="86">
        <v>50</v>
      </c>
      <c r="J57" s="86">
        <v>69.230769230769226</v>
      </c>
      <c r="K57" s="86">
        <v>87.5</v>
      </c>
      <c r="L57" s="86">
        <v>60</v>
      </c>
      <c r="M57" s="86">
        <v>33.333333333333329</v>
      </c>
      <c r="N57" s="86">
        <v>100</v>
      </c>
      <c r="O57" s="86">
        <v>70</v>
      </c>
      <c r="P57" s="86">
        <v>75</v>
      </c>
      <c r="AP57" s="84"/>
      <c r="AQ57" s="84"/>
      <c r="BA57"/>
      <c r="BB57"/>
      <c r="BC57"/>
      <c r="BD57"/>
    </row>
    <row r="58" spans="1:56" x14ac:dyDescent="0.25">
      <c r="A58" t="s">
        <v>131</v>
      </c>
      <c r="B58" t="s">
        <v>132</v>
      </c>
      <c r="C58" s="86">
        <v>75.268817204301072</v>
      </c>
      <c r="D58" s="86">
        <v>100</v>
      </c>
      <c r="E58" s="86">
        <v>100</v>
      </c>
      <c r="F58" s="86">
        <v>69.230769230769226</v>
      </c>
      <c r="G58" s="86">
        <v>100</v>
      </c>
      <c r="H58" s="86">
        <v>88.888888888888886</v>
      </c>
      <c r="I58" s="86">
        <v>80</v>
      </c>
      <c r="J58" s="86">
        <v>69.230769230769226</v>
      </c>
      <c r="K58" s="86">
        <v>87.5</v>
      </c>
      <c r="L58" s="86">
        <v>40</v>
      </c>
      <c r="M58" s="86">
        <v>0</v>
      </c>
      <c r="N58" s="86">
        <v>77.777777777777786</v>
      </c>
      <c r="O58" s="86">
        <v>80</v>
      </c>
      <c r="P58" s="86">
        <v>75</v>
      </c>
      <c r="AP58" s="84"/>
      <c r="AQ58" s="84"/>
      <c r="BA58"/>
      <c r="BB58"/>
      <c r="BC58"/>
      <c r="BD58"/>
    </row>
    <row r="59" spans="1:56" x14ac:dyDescent="0.25">
      <c r="A59" t="s">
        <v>133</v>
      </c>
      <c r="B59" t="s">
        <v>134</v>
      </c>
      <c r="C59" s="86">
        <v>80.645161290322577</v>
      </c>
      <c r="D59" s="86">
        <v>100</v>
      </c>
      <c r="E59" s="86">
        <v>100</v>
      </c>
      <c r="F59" s="86">
        <v>92.307692307692307</v>
      </c>
      <c r="G59" s="86">
        <v>100</v>
      </c>
      <c r="H59" s="86">
        <v>88.888888888888886</v>
      </c>
      <c r="I59" s="86">
        <v>80</v>
      </c>
      <c r="J59" s="86">
        <v>61.53846153846154</v>
      </c>
      <c r="K59" s="86">
        <v>50</v>
      </c>
      <c r="L59" s="86">
        <v>20</v>
      </c>
      <c r="M59" s="86">
        <v>100</v>
      </c>
      <c r="N59" s="86">
        <v>88.888888888888886</v>
      </c>
      <c r="O59" s="86">
        <v>90</v>
      </c>
      <c r="P59" s="86">
        <v>43.75</v>
      </c>
      <c r="AP59" s="84"/>
      <c r="AQ59" s="84"/>
      <c r="BA59"/>
      <c r="BB59"/>
      <c r="BC59"/>
      <c r="BD59"/>
    </row>
    <row r="60" spans="1:56" x14ac:dyDescent="0.25">
      <c r="A60" t="s">
        <v>135</v>
      </c>
      <c r="B60" t="s">
        <v>136</v>
      </c>
      <c r="C60" s="86">
        <v>33.333333333333329</v>
      </c>
      <c r="D60" s="86">
        <v>71.428571428571431</v>
      </c>
      <c r="E60" s="86">
        <v>100</v>
      </c>
      <c r="F60" s="86">
        <v>15.384615384615385</v>
      </c>
      <c r="G60" s="86">
        <v>57.142857142857139</v>
      </c>
      <c r="H60" s="86">
        <v>44.444444444444443</v>
      </c>
      <c r="I60" s="86">
        <v>20</v>
      </c>
      <c r="J60" s="86">
        <v>53.846153846153847</v>
      </c>
      <c r="K60" s="86">
        <v>25</v>
      </c>
      <c r="L60" s="86">
        <v>0</v>
      </c>
      <c r="M60" s="86">
        <v>0</v>
      </c>
      <c r="N60" s="86">
        <v>0</v>
      </c>
      <c r="O60" s="86">
        <v>10</v>
      </c>
      <c r="P60" s="86">
        <v>31.25</v>
      </c>
      <c r="AP60" s="84"/>
      <c r="AQ60" s="84"/>
      <c r="BA60"/>
      <c r="BB60"/>
      <c r="BC60"/>
      <c r="BD60"/>
    </row>
    <row r="61" spans="1:56" x14ac:dyDescent="0.25">
      <c r="A61" t="s">
        <v>137</v>
      </c>
      <c r="B61" t="s">
        <v>138</v>
      </c>
      <c r="C61" s="86">
        <v>80.645161290322577</v>
      </c>
      <c r="D61" s="86">
        <v>100</v>
      </c>
      <c r="E61" s="86">
        <v>100</v>
      </c>
      <c r="F61" s="86">
        <v>76.923076923076934</v>
      </c>
      <c r="G61" s="86">
        <v>85.714285714285708</v>
      </c>
      <c r="H61" s="86">
        <v>66.666666666666657</v>
      </c>
      <c r="I61" s="86">
        <v>80</v>
      </c>
      <c r="J61" s="86">
        <v>69.230769230769226</v>
      </c>
      <c r="K61" s="86">
        <v>87.5</v>
      </c>
      <c r="L61" s="86">
        <v>100</v>
      </c>
      <c r="M61" s="86">
        <v>33.333333333333329</v>
      </c>
      <c r="N61" s="86">
        <v>100</v>
      </c>
      <c r="O61" s="86">
        <v>90</v>
      </c>
      <c r="P61" s="86">
        <v>50</v>
      </c>
      <c r="AP61" s="84"/>
      <c r="AQ61" s="84"/>
      <c r="BA61"/>
      <c r="BB61"/>
      <c r="BC61"/>
      <c r="BD61"/>
    </row>
    <row r="62" spans="1:56" x14ac:dyDescent="0.25">
      <c r="A62" t="s">
        <v>139</v>
      </c>
      <c r="B62" t="s">
        <v>140</v>
      </c>
      <c r="C62" s="86">
        <v>81.72043010752688</v>
      </c>
      <c r="D62" s="86">
        <v>100</v>
      </c>
      <c r="E62" s="86">
        <v>100</v>
      </c>
      <c r="F62" s="86">
        <v>92.307692307692307</v>
      </c>
      <c r="G62" s="86">
        <v>71.428571428571431</v>
      </c>
      <c r="H62" s="86">
        <v>66.666666666666657</v>
      </c>
      <c r="I62" s="86">
        <v>100</v>
      </c>
      <c r="J62" s="86">
        <v>69.230769230769226</v>
      </c>
      <c r="K62" s="86">
        <v>62.5</v>
      </c>
      <c r="L62" s="86">
        <v>100</v>
      </c>
      <c r="M62" s="86">
        <v>33.333333333333329</v>
      </c>
      <c r="N62" s="86">
        <v>100</v>
      </c>
      <c r="O62" s="86">
        <v>90</v>
      </c>
      <c r="P62" s="86">
        <v>50</v>
      </c>
      <c r="AP62" s="84"/>
      <c r="AQ62" s="84"/>
      <c r="BA62"/>
      <c r="BB62"/>
      <c r="BC62"/>
      <c r="BD62"/>
    </row>
    <row r="63" spans="1:56" x14ac:dyDescent="0.25">
      <c r="A63" t="s">
        <v>141</v>
      </c>
      <c r="B63" t="s">
        <v>142</v>
      </c>
      <c r="C63" s="86">
        <v>60.215053763440864</v>
      </c>
      <c r="D63" s="86">
        <v>57.142857142857139</v>
      </c>
      <c r="E63" s="86">
        <v>85.714285714285708</v>
      </c>
      <c r="F63" s="86">
        <v>69.230769230769226</v>
      </c>
      <c r="G63" s="86">
        <v>71.428571428571431</v>
      </c>
      <c r="H63" s="86">
        <v>100</v>
      </c>
      <c r="I63" s="86">
        <v>30</v>
      </c>
      <c r="J63" s="86">
        <v>69.230769230769226</v>
      </c>
      <c r="K63" s="86">
        <v>37.5</v>
      </c>
      <c r="L63" s="86">
        <v>20</v>
      </c>
      <c r="M63" s="86">
        <v>0</v>
      </c>
      <c r="N63" s="86">
        <v>77.777777777777786</v>
      </c>
      <c r="O63" s="86">
        <v>70</v>
      </c>
      <c r="P63" s="86">
        <v>50</v>
      </c>
      <c r="AP63" s="84"/>
      <c r="AQ63" s="84"/>
      <c r="BA63"/>
      <c r="BB63"/>
      <c r="BC63"/>
      <c r="BD63"/>
    </row>
    <row r="64" spans="1:56" x14ac:dyDescent="0.25">
      <c r="A64" t="s">
        <v>143</v>
      </c>
      <c r="B64" t="s">
        <v>144</v>
      </c>
      <c r="C64" s="86">
        <v>72.043010752688176</v>
      </c>
      <c r="D64" s="86">
        <v>85.714285714285708</v>
      </c>
      <c r="E64" s="86">
        <v>71.428571428571431</v>
      </c>
      <c r="F64" s="86">
        <v>84.615384615384613</v>
      </c>
      <c r="G64" s="86">
        <v>71.428571428571431</v>
      </c>
      <c r="H64" s="86">
        <v>55.555555555555557</v>
      </c>
      <c r="I64" s="86">
        <v>100</v>
      </c>
      <c r="J64" s="86">
        <v>76.923076923076934</v>
      </c>
      <c r="K64" s="86">
        <v>25</v>
      </c>
      <c r="L64" s="86">
        <v>40</v>
      </c>
      <c r="M64" s="86">
        <v>100</v>
      </c>
      <c r="N64" s="86">
        <v>66.666666666666657</v>
      </c>
      <c r="O64" s="86">
        <v>80</v>
      </c>
      <c r="P64" s="86">
        <v>56.25</v>
      </c>
      <c r="AP64" s="84"/>
      <c r="AQ64" s="84"/>
      <c r="BA64"/>
      <c r="BB64"/>
      <c r="BC64"/>
      <c r="BD64"/>
    </row>
    <row r="65" spans="1:56" x14ac:dyDescent="0.25">
      <c r="A65" t="s">
        <v>145</v>
      </c>
      <c r="B65" t="s">
        <v>146</v>
      </c>
      <c r="C65" s="86">
        <v>56.98924731182796</v>
      </c>
      <c r="D65" s="86">
        <v>14.285714285714285</v>
      </c>
      <c r="E65" s="86">
        <v>100</v>
      </c>
      <c r="F65" s="86">
        <v>92.307692307692307</v>
      </c>
      <c r="G65" s="86">
        <v>100</v>
      </c>
      <c r="H65" s="86">
        <v>88.888888888888886</v>
      </c>
      <c r="I65" s="86">
        <v>60</v>
      </c>
      <c r="J65" s="86">
        <v>46.153846153846153</v>
      </c>
      <c r="K65" s="86">
        <v>62.5</v>
      </c>
      <c r="L65" s="86">
        <v>20</v>
      </c>
      <c r="M65" s="86">
        <v>0</v>
      </c>
      <c r="N65" s="86">
        <v>11.111111111111111</v>
      </c>
      <c r="O65" s="86">
        <v>60</v>
      </c>
      <c r="P65" s="86">
        <v>56.25</v>
      </c>
      <c r="AP65" s="84"/>
      <c r="AQ65" s="84"/>
      <c r="BA65"/>
      <c r="BB65"/>
      <c r="BC65"/>
      <c r="BD65"/>
    </row>
    <row r="66" spans="1:56" x14ac:dyDescent="0.25">
      <c r="A66" t="s">
        <v>147</v>
      </c>
      <c r="B66" t="s">
        <v>148</v>
      </c>
      <c r="C66" s="86">
        <v>44.086021505376344</v>
      </c>
      <c r="D66" s="86">
        <v>85.714285714285708</v>
      </c>
      <c r="E66" s="86">
        <v>71.428571428571431</v>
      </c>
      <c r="F66" s="86">
        <v>53.846153846153847</v>
      </c>
      <c r="G66" s="86">
        <v>85.714285714285708</v>
      </c>
      <c r="H66" s="86">
        <v>44.444444444444443</v>
      </c>
      <c r="I66" s="86">
        <v>30</v>
      </c>
      <c r="J66" s="86">
        <v>23.076923076923077</v>
      </c>
      <c r="K66" s="86">
        <v>25</v>
      </c>
      <c r="L66" s="86">
        <v>0</v>
      </c>
      <c r="M66" s="86">
        <v>0</v>
      </c>
      <c r="N66" s="86">
        <v>66.666666666666657</v>
      </c>
      <c r="O66" s="86">
        <v>30</v>
      </c>
      <c r="P66" s="86">
        <v>37.5</v>
      </c>
      <c r="AP66" s="84"/>
      <c r="AQ66" s="84"/>
      <c r="BA66"/>
      <c r="BB66"/>
      <c r="BC66"/>
      <c r="BD66"/>
    </row>
    <row r="67" spans="1:56" x14ac:dyDescent="0.25">
      <c r="AP67" s="84"/>
      <c r="AQ67" s="84"/>
      <c r="BA67"/>
      <c r="BB67"/>
      <c r="BC67"/>
      <c r="BD67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Triguero</dc:creator>
  <cp:lastModifiedBy>C Triguero</cp:lastModifiedBy>
  <dcterms:created xsi:type="dcterms:W3CDTF">2023-09-21T10:18:39Z</dcterms:created>
  <dcterms:modified xsi:type="dcterms:W3CDTF">2025-12-15T19:53:35Z</dcterms:modified>
</cp:coreProperties>
</file>